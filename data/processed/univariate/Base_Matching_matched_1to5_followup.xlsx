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o\Desktop\Estados_CRF\Matching_windows\"/>
    </mc:Choice>
  </mc:AlternateContent>
  <xr:revisionPtr revIDLastSave="0" documentId="13_ncr:1_{71A682E9-877F-4120-88C6-5BA8EF900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Sheet1!$I$1:$I$145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3" i="1"/>
  <c r="Q4" i="1"/>
  <c r="Q5" i="1"/>
  <c r="R3" i="1"/>
  <c r="R4" i="1"/>
  <c r="R5" i="1"/>
  <c r="R2" i="1"/>
  <c r="Q2" i="1"/>
  <c r="P33" i="1"/>
  <c r="P135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2" i="1"/>
  <c r="P2" i="1" s="1"/>
</calcChain>
</file>

<file path=xl/sharedStrings.xml><?xml version="1.0" encoding="utf-8"?>
<sst xmlns="http://schemas.openxmlformats.org/spreadsheetml/2006/main" count="902" uniqueCount="66">
  <si>
    <t>S_RECORD_id</t>
  </si>
  <si>
    <t>Fecha_entrada_HDM</t>
  </si>
  <si>
    <t>Abandono Si/No</t>
  </si>
  <si>
    <t>Evento PD</t>
  </si>
  <si>
    <t>Tiempo Obs Final</t>
  </si>
  <si>
    <t>Early PD</t>
  </si>
  <si>
    <t>Fecha_Inicio_HDM</t>
  </si>
  <si>
    <t>Cohorte</t>
  </si>
  <si>
    <t>Group tumor</t>
  </si>
  <si>
    <t>Edad</t>
  </si>
  <si>
    <t>Raza</t>
  </si>
  <si>
    <t>HEIGHT</t>
  </si>
  <si>
    <t>PESO</t>
  </si>
  <si>
    <t>IMC</t>
  </si>
  <si>
    <t>Menopause</t>
  </si>
  <si>
    <t>Menop</t>
  </si>
  <si>
    <t>ECOG</t>
  </si>
  <si>
    <t>Hemoglobina_g_dL_BASAL</t>
  </si>
  <si>
    <t>Linfocitos_miles_mm3_BASAL</t>
  </si>
  <si>
    <t>Neutrofilos_miles_mm3_BASAL</t>
  </si>
  <si>
    <t>Plaquetas_miles_mm3_BASAL</t>
  </si>
  <si>
    <t>Albumina_g_dL_BASAL</t>
  </si>
  <si>
    <t>Fibrinogeno_mg_dL_BASAL</t>
  </si>
  <si>
    <t>ProteinaCreactiva_mg_dL_BASAL</t>
  </si>
  <si>
    <t>match_set_id</t>
  </si>
  <si>
    <t>match_role</t>
  </si>
  <si>
    <t>index_case_id</t>
  </si>
  <si>
    <t>No</t>
  </si>
  <si>
    <t>Breast</t>
  </si>
  <si>
    <t>case</t>
  </si>
  <si>
    <t>control</t>
  </si>
  <si>
    <t>Si</t>
  </si>
  <si>
    <t>Colorectal</t>
  </si>
  <si>
    <t>Lung</t>
  </si>
  <si>
    <t>Ventana 1</t>
  </si>
  <si>
    <t>Ventana 2</t>
  </si>
  <si>
    <t>58 a 71</t>
  </si>
  <si>
    <t>1 a 14</t>
  </si>
  <si>
    <t>Fechas inicio ventana 1</t>
  </si>
  <si>
    <t>Fecha fin ventana 1</t>
  </si>
  <si>
    <t>Fecha inicio ventana 2</t>
  </si>
  <si>
    <t>Fecha fin ventana 2</t>
  </si>
  <si>
    <t>65.0 a 78.0</t>
  </si>
  <si>
    <t>66.0 a 79.0</t>
  </si>
  <si>
    <t>71.0 a 84.0</t>
  </si>
  <si>
    <t>77.0 a 90.0</t>
  </si>
  <si>
    <t>140.0 a 153.0</t>
  </si>
  <si>
    <t>146.0 a 159.0</t>
  </si>
  <si>
    <t>139.0 a 152.0</t>
  </si>
  <si>
    <t>161.0 a 174.0</t>
  </si>
  <si>
    <t>7.0 a 20.0</t>
  </si>
  <si>
    <t>2.0 a 15.0</t>
  </si>
  <si>
    <t>83.0 a 96.0</t>
  </si>
  <si>
    <t>124.0 a 137.0</t>
  </si>
  <si>
    <t>15.0 a 28.0</t>
  </si>
  <si>
    <t>24.0 a 37.0</t>
  </si>
  <si>
    <t>57.0 a 70.0</t>
  </si>
  <si>
    <t>76.0 a 89.0</t>
  </si>
  <si>
    <t>85.0 a 98.0</t>
  </si>
  <si>
    <t>94.0 a 107.0</t>
  </si>
  <si>
    <t>126.0 a 139.0</t>
  </si>
  <si>
    <t>144.0 a 157.0</t>
  </si>
  <si>
    <t>150.0 a 163.0</t>
  </si>
  <si>
    <t>155.0 a 168.0</t>
  </si>
  <si>
    <t>V2_i</t>
  </si>
  <si>
    <t>V2_e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</si>
</sst>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1"/>
  <sheetViews>
    <sheetView tabSelected="1" zoomScale="70" zoomScaleNormal="70" workbookViewId="0">
      <selection activeCell="Q2" sqref="Q2"/>
    </sheetView>
  </sheetViews>
  <sheetFormatPr defaultColWidth="8.85546875" defaultRowHeight="15" x14ac:dyDescent="0.25"/>
  <cols>
    <col min="2" max="2" width="21.28515625" customWidth="1"/>
    <col min="3" max="3" width="16" customWidth="1"/>
    <col min="4" max="4" width="15" customWidth="1"/>
    <col min="5" max="5" width="14.7109375" customWidth="1"/>
    <col min="6" max="6" width="14.140625" customWidth="1"/>
    <col min="7" max="7" width="9" style="2" bestFit="1" customWidth="1"/>
    <col min="8" max="8" width="13.85546875" style="2" customWidth="1"/>
    <col min="9" max="9" width="9" bestFit="1" customWidth="1"/>
    <col min="10" max="10" width="11.42578125" customWidth="1"/>
    <col min="11" max="11" width="15.28515625" customWidth="1"/>
    <col min="12" max="13" width="9.140625" style="2"/>
    <col min="14" max="14" width="23.7109375" style="2" customWidth="1"/>
    <col min="15" max="15" width="29.140625" style="2" customWidth="1"/>
    <col min="16" max="16" width="22.7109375" style="2" customWidth="1"/>
    <col min="17" max="17" width="28.7109375" style="2" customWidth="1"/>
    <col min="18" max="18" width="27.7109375" style="2" customWidth="1"/>
    <col min="20" max="24" width="9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4" t="s">
        <v>3</v>
      </c>
      <c r="H1" s="4" t="s">
        <v>4</v>
      </c>
      <c r="I1" s="1" t="s">
        <v>5</v>
      </c>
      <c r="J1" s="1" t="s">
        <v>34</v>
      </c>
      <c r="K1" s="1" t="s">
        <v>35</v>
      </c>
      <c r="L1" s="5" t="s">
        <v>64</v>
      </c>
      <c r="M1" s="5" t="s">
        <v>65</v>
      </c>
      <c r="N1" s="4" t="s">
        <v>6</v>
      </c>
      <c r="O1" s="4" t="s">
        <v>38</v>
      </c>
      <c r="P1" s="4" t="s">
        <v>39</v>
      </c>
      <c r="Q1" s="4" t="s">
        <v>40</v>
      </c>
      <c r="R1" s="4" t="s">
        <v>41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</row>
    <row r="2" spans="1:38" s="2" customFormat="1" x14ac:dyDescent="0.25">
      <c r="A2" s="2">
        <v>91004</v>
      </c>
      <c r="B2" s="3">
        <v>45258</v>
      </c>
      <c r="C2" s="2" t="s">
        <v>27</v>
      </c>
      <c r="D2" s="2">
        <v>1</v>
      </c>
      <c r="E2" s="2" t="s">
        <v>29</v>
      </c>
      <c r="F2" s="2">
        <v>91004</v>
      </c>
      <c r="G2" s="2">
        <v>1</v>
      </c>
      <c r="H2" s="2">
        <v>71</v>
      </c>
      <c r="I2" s="2">
        <v>1</v>
      </c>
      <c r="J2" s="2" t="s">
        <v>37</v>
      </c>
      <c r="K2" s="2" t="s">
        <v>36</v>
      </c>
      <c r="L2" s="2">
        <v>58</v>
      </c>
      <c r="M2" s="2">
        <v>71</v>
      </c>
      <c r="N2" s="3">
        <v>45260</v>
      </c>
      <c r="O2" s="3">
        <f>N2</f>
        <v>45260</v>
      </c>
      <c r="P2" s="3">
        <f>O2+13</f>
        <v>45273</v>
      </c>
      <c r="Q2" s="3">
        <f>N2+L2</f>
        <v>45318</v>
      </c>
      <c r="R2" s="3">
        <f>N2+M2</f>
        <v>45331</v>
      </c>
      <c r="S2" s="2" t="s">
        <v>28</v>
      </c>
      <c r="T2" s="2">
        <v>1</v>
      </c>
      <c r="U2" s="2">
        <v>38</v>
      </c>
      <c r="V2" s="2">
        <v>1</v>
      </c>
      <c r="W2" s="2">
        <v>158</v>
      </c>
      <c r="X2" s="2">
        <v>61</v>
      </c>
      <c r="Y2" s="2">
        <v>24.4</v>
      </c>
      <c r="Z2" s="2" t="b">
        <v>0</v>
      </c>
      <c r="AA2" s="2">
        <v>0</v>
      </c>
      <c r="AB2" s="2">
        <v>1</v>
      </c>
      <c r="AC2" s="2">
        <v>12.9</v>
      </c>
      <c r="AD2" s="2">
        <v>1.41</v>
      </c>
      <c r="AE2" s="2">
        <v>3.9</v>
      </c>
      <c r="AF2" s="2">
        <v>193</v>
      </c>
      <c r="AG2" s="2">
        <v>4.4000000000000004</v>
      </c>
      <c r="AJ2" s="2">
        <v>2</v>
      </c>
      <c r="AK2" s="2" t="s">
        <v>29</v>
      </c>
      <c r="AL2" s="2">
        <v>91004</v>
      </c>
    </row>
    <row r="3" spans="1:38" x14ac:dyDescent="0.25">
      <c r="A3" s="6">
        <v>51010</v>
      </c>
      <c r="B3" s="7">
        <v>45569</v>
      </c>
      <c r="C3" s="6" t="s">
        <v>27</v>
      </c>
      <c r="D3" s="6">
        <v>1</v>
      </c>
      <c r="E3" s="6" t="s">
        <v>30</v>
      </c>
      <c r="F3" s="6">
        <v>91004</v>
      </c>
      <c r="G3" s="6">
        <v>0</v>
      </c>
      <c r="H3" s="6">
        <v>342</v>
      </c>
      <c r="I3" s="6">
        <v>0</v>
      </c>
      <c r="J3" s="6" t="s">
        <v>37</v>
      </c>
      <c r="K3" s="6" t="s">
        <v>36</v>
      </c>
      <c r="L3" s="6">
        <v>58</v>
      </c>
      <c r="M3" s="6">
        <v>71</v>
      </c>
      <c r="N3" s="7">
        <v>45569</v>
      </c>
      <c r="O3" s="7">
        <f t="shared" ref="O3:O66" si="0">N3</f>
        <v>45569</v>
      </c>
      <c r="P3" s="7">
        <f>O3+13</f>
        <v>45582</v>
      </c>
      <c r="Q3" s="7">
        <f t="shared" ref="Q3:Q66" si="1">N3+L3</f>
        <v>45627</v>
      </c>
      <c r="R3" s="7">
        <f t="shared" ref="R3:R66" si="2">N3+M3</f>
        <v>45640</v>
      </c>
      <c r="S3" t="s">
        <v>28</v>
      </c>
      <c r="T3">
        <v>1</v>
      </c>
      <c r="U3">
        <v>76</v>
      </c>
      <c r="V3">
        <v>1</v>
      </c>
      <c r="W3">
        <v>153</v>
      </c>
      <c r="X3">
        <v>47</v>
      </c>
      <c r="Y3">
        <v>20.100000000000001</v>
      </c>
      <c r="Z3" t="b">
        <v>1</v>
      </c>
      <c r="AA3">
        <v>1</v>
      </c>
      <c r="AC3">
        <v>12.8</v>
      </c>
      <c r="AD3">
        <v>1.86</v>
      </c>
      <c r="AE3">
        <v>2.5499999999999998</v>
      </c>
      <c r="AF3">
        <v>258</v>
      </c>
      <c r="AJ3">
        <v>2</v>
      </c>
      <c r="AK3" t="s">
        <v>30</v>
      </c>
      <c r="AL3">
        <v>91004</v>
      </c>
    </row>
    <row r="4" spans="1:38" x14ac:dyDescent="0.25">
      <c r="A4" s="6">
        <v>51001</v>
      </c>
      <c r="B4" s="7">
        <v>45238</v>
      </c>
      <c r="C4" s="6" t="s">
        <v>27</v>
      </c>
      <c r="D4" s="6">
        <v>1</v>
      </c>
      <c r="E4" s="6" t="s">
        <v>30</v>
      </c>
      <c r="F4" s="6">
        <v>91004</v>
      </c>
      <c r="G4" s="6">
        <v>0</v>
      </c>
      <c r="H4" s="6">
        <v>673</v>
      </c>
      <c r="I4" s="6">
        <v>0</v>
      </c>
      <c r="J4" s="6" t="s">
        <v>37</v>
      </c>
      <c r="K4" s="6" t="s">
        <v>36</v>
      </c>
      <c r="L4" s="6">
        <v>58</v>
      </c>
      <c r="M4" s="6">
        <v>71</v>
      </c>
      <c r="N4" s="7">
        <v>45238</v>
      </c>
      <c r="O4" s="7">
        <f t="shared" si="0"/>
        <v>45238</v>
      </c>
      <c r="P4" s="7">
        <f t="shared" ref="P4:P67" si="3">O4+13</f>
        <v>45251</v>
      </c>
      <c r="Q4" s="7">
        <f t="shared" si="1"/>
        <v>45296</v>
      </c>
      <c r="R4" s="7">
        <f t="shared" si="2"/>
        <v>45309</v>
      </c>
      <c r="S4" t="s">
        <v>28</v>
      </c>
      <c r="T4">
        <v>1</v>
      </c>
      <c r="U4">
        <v>60</v>
      </c>
      <c r="V4">
        <v>1</v>
      </c>
      <c r="W4">
        <v>162</v>
      </c>
      <c r="X4">
        <v>77</v>
      </c>
      <c r="Y4">
        <v>29.3</v>
      </c>
      <c r="Z4" t="b">
        <v>1</v>
      </c>
      <c r="AA4">
        <v>1</v>
      </c>
      <c r="AB4">
        <v>0</v>
      </c>
      <c r="AC4">
        <v>14</v>
      </c>
      <c r="AD4">
        <v>1.61</v>
      </c>
      <c r="AE4">
        <v>2.88</v>
      </c>
      <c r="AF4">
        <v>263</v>
      </c>
      <c r="AG4">
        <v>4.58</v>
      </c>
      <c r="AJ4">
        <v>2</v>
      </c>
      <c r="AK4" t="s">
        <v>30</v>
      </c>
      <c r="AL4">
        <v>91004</v>
      </c>
    </row>
    <row r="5" spans="1:38" x14ac:dyDescent="0.25">
      <c r="A5" s="6">
        <v>81001</v>
      </c>
      <c r="B5" s="7">
        <v>45093</v>
      </c>
      <c r="C5" s="6" t="s">
        <v>27</v>
      </c>
      <c r="D5" s="6">
        <v>1</v>
      </c>
      <c r="E5" s="6" t="s">
        <v>30</v>
      </c>
      <c r="F5" s="6">
        <v>91004</v>
      </c>
      <c r="G5" s="6">
        <v>1</v>
      </c>
      <c r="H5" s="6">
        <v>461</v>
      </c>
      <c r="I5" s="6">
        <v>0</v>
      </c>
      <c r="J5" s="6" t="s">
        <v>37</v>
      </c>
      <c r="K5" s="6" t="s">
        <v>36</v>
      </c>
      <c r="L5" s="6">
        <v>58</v>
      </c>
      <c r="M5" s="6">
        <v>71</v>
      </c>
      <c r="N5" s="7">
        <v>45105</v>
      </c>
      <c r="O5" s="7">
        <f t="shared" si="0"/>
        <v>45105</v>
      </c>
      <c r="P5" s="7">
        <f t="shared" si="3"/>
        <v>45118</v>
      </c>
      <c r="Q5" s="7">
        <f t="shared" si="1"/>
        <v>45163</v>
      </c>
      <c r="R5" s="7">
        <f t="shared" si="2"/>
        <v>45176</v>
      </c>
      <c r="S5" t="s">
        <v>28</v>
      </c>
      <c r="T5">
        <v>1</v>
      </c>
      <c r="U5">
        <v>51</v>
      </c>
      <c r="V5">
        <v>1</v>
      </c>
      <c r="W5">
        <v>162</v>
      </c>
      <c r="X5">
        <v>90</v>
      </c>
      <c r="Y5">
        <v>34.299999999999997</v>
      </c>
      <c r="Z5" t="b">
        <v>0</v>
      </c>
      <c r="AA5">
        <v>0</v>
      </c>
      <c r="AB5">
        <v>0</v>
      </c>
      <c r="AC5">
        <v>12.4</v>
      </c>
      <c r="AD5">
        <v>2.5</v>
      </c>
      <c r="AE5">
        <v>7.87</v>
      </c>
      <c r="AF5">
        <v>243</v>
      </c>
      <c r="AG5">
        <v>3.6</v>
      </c>
      <c r="AJ5">
        <v>2</v>
      </c>
      <c r="AK5" t="s">
        <v>30</v>
      </c>
      <c r="AL5">
        <v>91004</v>
      </c>
    </row>
    <row r="6" spans="1:38" x14ac:dyDescent="0.25">
      <c r="A6" s="6">
        <v>31013</v>
      </c>
      <c r="B6" s="7">
        <v>45733</v>
      </c>
      <c r="C6" s="6" t="s">
        <v>27</v>
      </c>
      <c r="D6" s="6">
        <v>1</v>
      </c>
      <c r="E6" s="6" t="s">
        <v>30</v>
      </c>
      <c r="F6" s="6">
        <v>91004</v>
      </c>
      <c r="G6" s="6">
        <v>0</v>
      </c>
      <c r="H6" s="6">
        <v>178</v>
      </c>
      <c r="I6" s="6">
        <v>0</v>
      </c>
      <c r="J6" s="6" t="s">
        <v>37</v>
      </c>
      <c r="K6" s="6" t="s">
        <v>36</v>
      </c>
      <c r="L6" s="6">
        <v>58</v>
      </c>
      <c r="M6" s="6">
        <v>71</v>
      </c>
      <c r="N6" s="7">
        <v>45733</v>
      </c>
      <c r="O6" s="7">
        <f t="shared" si="0"/>
        <v>45733</v>
      </c>
      <c r="P6" s="7">
        <f t="shared" si="3"/>
        <v>45746</v>
      </c>
      <c r="Q6" s="7">
        <f t="shared" si="1"/>
        <v>45791</v>
      </c>
      <c r="R6" s="7">
        <f t="shared" si="2"/>
        <v>45804</v>
      </c>
      <c r="S6" t="s">
        <v>28</v>
      </c>
      <c r="T6">
        <v>1</v>
      </c>
      <c r="U6">
        <v>51</v>
      </c>
      <c r="V6">
        <v>1</v>
      </c>
      <c r="W6">
        <v>165</v>
      </c>
      <c r="X6">
        <v>68</v>
      </c>
      <c r="Y6">
        <v>25</v>
      </c>
      <c r="Z6" t="b">
        <v>0</v>
      </c>
      <c r="AA6">
        <v>0</v>
      </c>
      <c r="AB6">
        <v>1</v>
      </c>
      <c r="AC6">
        <v>9.6</v>
      </c>
      <c r="AD6">
        <v>1.68</v>
      </c>
      <c r="AE6">
        <v>3.1</v>
      </c>
      <c r="AF6">
        <v>247</v>
      </c>
      <c r="AG6">
        <v>4.2</v>
      </c>
      <c r="AH6">
        <v>7.17</v>
      </c>
      <c r="AI6">
        <v>19</v>
      </c>
      <c r="AJ6">
        <v>2</v>
      </c>
      <c r="AK6" t="s">
        <v>30</v>
      </c>
      <c r="AL6">
        <v>91004</v>
      </c>
    </row>
    <row r="7" spans="1:38" x14ac:dyDescent="0.25">
      <c r="A7" s="6">
        <v>51003</v>
      </c>
      <c r="B7" s="7">
        <v>45331</v>
      </c>
      <c r="C7" s="6" t="s">
        <v>27</v>
      </c>
      <c r="D7" s="6">
        <v>1</v>
      </c>
      <c r="E7" s="6" t="s">
        <v>30</v>
      </c>
      <c r="F7" s="6">
        <v>91004</v>
      </c>
      <c r="G7" s="6">
        <v>0</v>
      </c>
      <c r="H7" s="6">
        <v>577</v>
      </c>
      <c r="I7" s="6">
        <v>0</v>
      </c>
      <c r="J7" s="6" t="s">
        <v>37</v>
      </c>
      <c r="K7" s="6" t="s">
        <v>36</v>
      </c>
      <c r="L7" s="6">
        <v>58</v>
      </c>
      <c r="M7" s="6">
        <v>71</v>
      </c>
      <c r="N7" s="7">
        <v>45334</v>
      </c>
      <c r="O7" s="7">
        <f t="shared" si="0"/>
        <v>45334</v>
      </c>
      <c r="P7" s="7">
        <f t="shared" si="3"/>
        <v>45347</v>
      </c>
      <c r="Q7" s="7">
        <f t="shared" si="1"/>
        <v>45392</v>
      </c>
      <c r="R7" s="7">
        <f t="shared" si="2"/>
        <v>45405</v>
      </c>
      <c r="S7" t="s">
        <v>28</v>
      </c>
      <c r="T7">
        <v>1</v>
      </c>
      <c r="U7">
        <v>71</v>
      </c>
      <c r="V7">
        <v>1</v>
      </c>
      <c r="W7">
        <v>161</v>
      </c>
      <c r="X7">
        <v>78</v>
      </c>
      <c r="Y7">
        <v>30.1</v>
      </c>
      <c r="Z7" t="b">
        <v>0</v>
      </c>
      <c r="AA7">
        <v>0</v>
      </c>
      <c r="AB7">
        <v>1</v>
      </c>
      <c r="AC7">
        <v>14.4</v>
      </c>
      <c r="AD7">
        <v>1.51</v>
      </c>
      <c r="AE7">
        <v>4.26</v>
      </c>
      <c r="AF7">
        <v>200</v>
      </c>
      <c r="AG7">
        <v>43.6</v>
      </c>
      <c r="AJ7">
        <v>2</v>
      </c>
      <c r="AK7" t="s">
        <v>30</v>
      </c>
      <c r="AL7">
        <v>91004</v>
      </c>
    </row>
    <row r="8" spans="1:38" s="2" customFormat="1" x14ac:dyDescent="0.25">
      <c r="A8" s="2">
        <v>91010</v>
      </c>
      <c r="B8" s="3">
        <v>45421</v>
      </c>
      <c r="C8" s="2" t="s">
        <v>27</v>
      </c>
      <c r="D8" s="2">
        <v>2</v>
      </c>
      <c r="E8" s="2" t="s">
        <v>29</v>
      </c>
      <c r="F8" s="2">
        <v>91010</v>
      </c>
      <c r="G8" s="2">
        <v>1</v>
      </c>
      <c r="H8" s="2">
        <v>78</v>
      </c>
      <c r="I8" s="2">
        <v>1</v>
      </c>
      <c r="J8" s="2" t="s">
        <v>37</v>
      </c>
      <c r="K8" t="s">
        <v>42</v>
      </c>
      <c r="L8" s="2">
        <v>65</v>
      </c>
      <c r="M8" s="2">
        <v>78</v>
      </c>
      <c r="N8" s="3">
        <v>45428</v>
      </c>
      <c r="O8" s="3">
        <f t="shared" si="0"/>
        <v>45428</v>
      </c>
      <c r="P8" s="3">
        <f t="shared" si="3"/>
        <v>45441</v>
      </c>
      <c r="Q8" s="3">
        <f t="shared" si="1"/>
        <v>45493</v>
      </c>
      <c r="R8" s="3">
        <f t="shared" si="2"/>
        <v>45506</v>
      </c>
      <c r="S8" s="2" t="s">
        <v>28</v>
      </c>
      <c r="T8" s="2">
        <v>1</v>
      </c>
      <c r="U8" s="2">
        <v>46</v>
      </c>
      <c r="V8" s="2">
        <v>1</v>
      </c>
      <c r="W8" s="2">
        <v>164</v>
      </c>
      <c r="X8" s="2">
        <v>57.8</v>
      </c>
      <c r="Y8" s="2">
        <v>21.5</v>
      </c>
      <c r="Z8" s="2" t="b">
        <v>0</v>
      </c>
      <c r="AA8" s="2">
        <v>0</v>
      </c>
      <c r="AB8" s="2">
        <v>1</v>
      </c>
      <c r="AC8" s="2">
        <v>9.3000000000000007</v>
      </c>
      <c r="AD8" s="2">
        <v>2.68</v>
      </c>
      <c r="AE8" s="2">
        <v>1.46</v>
      </c>
      <c r="AF8" s="2">
        <v>51</v>
      </c>
      <c r="AG8" s="2">
        <v>4.4000000000000004</v>
      </c>
      <c r="AJ8" s="2">
        <v>3</v>
      </c>
      <c r="AK8" s="2" t="s">
        <v>29</v>
      </c>
      <c r="AL8" s="2">
        <v>91010</v>
      </c>
    </row>
    <row r="9" spans="1:38" x14ac:dyDescent="0.25">
      <c r="A9" s="6">
        <v>31012</v>
      </c>
      <c r="B9" s="7">
        <v>45707</v>
      </c>
      <c r="C9" s="6" t="s">
        <v>27</v>
      </c>
      <c r="D9" s="6">
        <v>2</v>
      </c>
      <c r="E9" s="6" t="s">
        <v>30</v>
      </c>
      <c r="F9" s="6">
        <v>91010</v>
      </c>
      <c r="G9" s="6">
        <v>0</v>
      </c>
      <c r="H9" s="6">
        <v>203</v>
      </c>
      <c r="I9" s="6">
        <v>0</v>
      </c>
      <c r="J9" s="6" t="s">
        <v>37</v>
      </c>
      <c r="K9" s="6" t="s">
        <v>42</v>
      </c>
      <c r="L9" s="6">
        <v>65</v>
      </c>
      <c r="M9" s="6">
        <v>78</v>
      </c>
      <c r="N9" s="7">
        <v>45708</v>
      </c>
      <c r="O9" s="7">
        <f t="shared" si="0"/>
        <v>45708</v>
      </c>
      <c r="P9" s="7">
        <f t="shared" si="3"/>
        <v>45721</v>
      </c>
      <c r="Q9" s="7">
        <f t="shared" si="1"/>
        <v>45773</v>
      </c>
      <c r="R9" s="7">
        <f t="shared" si="2"/>
        <v>45786</v>
      </c>
      <c r="S9" t="s">
        <v>28</v>
      </c>
      <c r="T9">
        <v>1</v>
      </c>
      <c r="U9">
        <v>70</v>
      </c>
      <c r="V9">
        <v>1</v>
      </c>
      <c r="W9">
        <v>162</v>
      </c>
      <c r="X9">
        <v>74</v>
      </c>
      <c r="Y9">
        <v>28.2</v>
      </c>
      <c r="Z9" t="b">
        <v>1</v>
      </c>
      <c r="AA9">
        <v>1</v>
      </c>
      <c r="AB9">
        <v>0</v>
      </c>
      <c r="AC9">
        <v>13.3</v>
      </c>
      <c r="AD9">
        <v>0.78</v>
      </c>
      <c r="AE9">
        <v>3.82</v>
      </c>
      <c r="AF9">
        <v>262</v>
      </c>
      <c r="AG9">
        <v>4.9000000000000004</v>
      </c>
      <c r="AH9">
        <v>4.71</v>
      </c>
      <c r="AI9">
        <v>3.2</v>
      </c>
      <c r="AJ9">
        <v>3</v>
      </c>
      <c r="AK9" t="s">
        <v>30</v>
      </c>
      <c r="AL9">
        <v>91010</v>
      </c>
    </row>
    <row r="10" spans="1:38" x14ac:dyDescent="0.25">
      <c r="A10" s="6">
        <v>71002</v>
      </c>
      <c r="B10" s="7">
        <v>45386</v>
      </c>
      <c r="C10" s="6" t="s">
        <v>27</v>
      </c>
      <c r="D10" s="6">
        <v>2</v>
      </c>
      <c r="E10" s="6" t="s">
        <v>30</v>
      </c>
      <c r="F10" s="6">
        <v>91010</v>
      </c>
      <c r="G10" s="6">
        <v>0</v>
      </c>
      <c r="H10" s="6">
        <v>524</v>
      </c>
      <c r="I10" s="6">
        <v>0</v>
      </c>
      <c r="J10" s="6" t="s">
        <v>37</v>
      </c>
      <c r="K10" s="6" t="s">
        <v>42</v>
      </c>
      <c r="L10" s="6">
        <v>65</v>
      </c>
      <c r="M10" s="6">
        <v>78</v>
      </c>
      <c r="N10" s="7">
        <v>45387</v>
      </c>
      <c r="O10" s="7">
        <f t="shared" si="0"/>
        <v>45387</v>
      </c>
      <c r="P10" s="7">
        <f t="shared" si="3"/>
        <v>45400</v>
      </c>
      <c r="Q10" s="7">
        <f t="shared" si="1"/>
        <v>45452</v>
      </c>
      <c r="R10" s="7">
        <f t="shared" si="2"/>
        <v>45465</v>
      </c>
      <c r="S10" t="s">
        <v>28</v>
      </c>
      <c r="T10">
        <v>1</v>
      </c>
      <c r="U10">
        <v>63</v>
      </c>
      <c r="V10">
        <v>1</v>
      </c>
      <c r="W10">
        <v>165</v>
      </c>
      <c r="X10">
        <v>60</v>
      </c>
      <c r="Y10">
        <v>22</v>
      </c>
      <c r="Z10" t="b">
        <v>1</v>
      </c>
      <c r="AA10">
        <v>1</v>
      </c>
      <c r="AB10">
        <v>0</v>
      </c>
      <c r="AC10">
        <v>14.5</v>
      </c>
      <c r="AD10">
        <v>1.78</v>
      </c>
      <c r="AE10">
        <v>2.5299999999999998</v>
      </c>
      <c r="AF10">
        <v>198</v>
      </c>
      <c r="AJ10">
        <v>3</v>
      </c>
      <c r="AK10" t="s">
        <v>30</v>
      </c>
      <c r="AL10">
        <v>91010</v>
      </c>
    </row>
    <row r="11" spans="1:38" x14ac:dyDescent="0.25">
      <c r="A11" s="6">
        <v>31016</v>
      </c>
      <c r="B11" s="7">
        <v>45764</v>
      </c>
      <c r="C11" s="6" t="s">
        <v>27</v>
      </c>
      <c r="D11" s="6">
        <v>2</v>
      </c>
      <c r="E11" s="6" t="s">
        <v>30</v>
      </c>
      <c r="F11" s="6">
        <v>91010</v>
      </c>
      <c r="G11" s="6">
        <v>0</v>
      </c>
      <c r="H11" s="6">
        <v>147</v>
      </c>
      <c r="I11" s="6">
        <v>0</v>
      </c>
      <c r="J11" s="6" t="s">
        <v>37</v>
      </c>
      <c r="K11" s="6" t="s">
        <v>42</v>
      </c>
      <c r="L11" s="6">
        <v>65</v>
      </c>
      <c r="M11" s="6">
        <v>78</v>
      </c>
      <c r="N11" s="7">
        <v>45764</v>
      </c>
      <c r="O11" s="7">
        <f t="shared" si="0"/>
        <v>45764</v>
      </c>
      <c r="P11" s="7">
        <f t="shared" si="3"/>
        <v>45777</v>
      </c>
      <c r="Q11" s="7">
        <f t="shared" si="1"/>
        <v>45829</v>
      </c>
      <c r="R11" s="7">
        <f t="shared" si="2"/>
        <v>45842</v>
      </c>
      <c r="S11" t="s">
        <v>28</v>
      </c>
      <c r="T11">
        <v>1</v>
      </c>
      <c r="U11">
        <v>71</v>
      </c>
      <c r="V11">
        <v>1</v>
      </c>
      <c r="W11">
        <v>160</v>
      </c>
      <c r="X11">
        <v>68</v>
      </c>
      <c r="Y11">
        <v>26.6</v>
      </c>
      <c r="Z11" t="b">
        <v>1</v>
      </c>
      <c r="AA11">
        <v>1</v>
      </c>
      <c r="AB11">
        <v>1</v>
      </c>
      <c r="AJ11">
        <v>3</v>
      </c>
      <c r="AK11" t="s">
        <v>30</v>
      </c>
      <c r="AL11">
        <v>91010</v>
      </c>
    </row>
    <row r="12" spans="1:38" x14ac:dyDescent="0.25">
      <c r="A12" s="6">
        <v>51004</v>
      </c>
      <c r="B12" s="7">
        <v>45376</v>
      </c>
      <c r="C12" s="6" t="s">
        <v>31</v>
      </c>
      <c r="D12" s="6">
        <v>2</v>
      </c>
      <c r="E12" s="6" t="s">
        <v>30</v>
      </c>
      <c r="F12" s="6">
        <v>91010</v>
      </c>
      <c r="G12" s="6">
        <v>0</v>
      </c>
      <c r="H12" s="6">
        <v>416</v>
      </c>
      <c r="I12" s="6">
        <v>0</v>
      </c>
      <c r="J12" s="6" t="s">
        <v>37</v>
      </c>
      <c r="K12" s="6" t="s">
        <v>42</v>
      </c>
      <c r="L12" s="6">
        <v>65</v>
      </c>
      <c r="M12" s="6">
        <v>78</v>
      </c>
      <c r="N12" s="7">
        <v>45377</v>
      </c>
      <c r="O12" s="7">
        <f t="shared" si="0"/>
        <v>45377</v>
      </c>
      <c r="P12" s="7">
        <f t="shared" si="3"/>
        <v>45390</v>
      </c>
      <c r="Q12" s="7">
        <f t="shared" si="1"/>
        <v>45442</v>
      </c>
      <c r="R12" s="7">
        <f t="shared" si="2"/>
        <v>45455</v>
      </c>
      <c r="S12" t="s">
        <v>28</v>
      </c>
      <c r="T12">
        <v>1</v>
      </c>
      <c r="U12">
        <v>61</v>
      </c>
      <c r="V12">
        <v>1</v>
      </c>
      <c r="W12">
        <v>164</v>
      </c>
      <c r="X12">
        <v>57.8</v>
      </c>
      <c r="Y12">
        <v>21.5</v>
      </c>
      <c r="Z12" t="b">
        <v>1</v>
      </c>
      <c r="AA12">
        <v>1</v>
      </c>
      <c r="AB12">
        <v>1</v>
      </c>
      <c r="AC12">
        <v>14.9</v>
      </c>
      <c r="AD12">
        <v>1.61</v>
      </c>
      <c r="AE12">
        <v>3.6</v>
      </c>
      <c r="AF12">
        <v>242</v>
      </c>
      <c r="AG12">
        <v>45.2</v>
      </c>
      <c r="AJ12">
        <v>3</v>
      </c>
      <c r="AK12" t="s">
        <v>30</v>
      </c>
      <c r="AL12">
        <v>91010</v>
      </c>
    </row>
    <row r="13" spans="1:38" x14ac:dyDescent="0.25">
      <c r="A13" s="6">
        <v>41017</v>
      </c>
      <c r="B13" s="7">
        <v>45419</v>
      </c>
      <c r="C13" s="6" t="s">
        <v>27</v>
      </c>
      <c r="D13" s="6">
        <v>2</v>
      </c>
      <c r="E13" s="6" t="s">
        <v>30</v>
      </c>
      <c r="F13" s="6">
        <v>91010</v>
      </c>
      <c r="G13" s="6">
        <v>0</v>
      </c>
      <c r="H13" s="6">
        <v>491</v>
      </c>
      <c r="I13" s="6">
        <v>0</v>
      </c>
      <c r="J13" s="6" t="s">
        <v>37</v>
      </c>
      <c r="K13" s="6" t="s">
        <v>42</v>
      </c>
      <c r="L13" s="6">
        <v>65</v>
      </c>
      <c r="M13" s="6">
        <v>78</v>
      </c>
      <c r="N13" s="7">
        <v>45420</v>
      </c>
      <c r="O13" s="7">
        <f t="shared" si="0"/>
        <v>45420</v>
      </c>
      <c r="P13" s="7">
        <f t="shared" si="3"/>
        <v>45433</v>
      </c>
      <c r="Q13" s="7">
        <f t="shared" si="1"/>
        <v>45485</v>
      </c>
      <c r="R13" s="7">
        <f t="shared" si="2"/>
        <v>45498</v>
      </c>
      <c r="S13" t="s">
        <v>28</v>
      </c>
      <c r="T13">
        <v>1</v>
      </c>
      <c r="U13">
        <v>58</v>
      </c>
      <c r="W13">
        <v>150</v>
      </c>
      <c r="X13">
        <v>55.4</v>
      </c>
      <c r="Y13">
        <v>24.6</v>
      </c>
      <c r="Z13" t="b">
        <v>1</v>
      </c>
      <c r="AA13">
        <v>1</v>
      </c>
      <c r="AB13">
        <v>0</v>
      </c>
      <c r="AC13">
        <v>14</v>
      </c>
      <c r="AD13">
        <v>2.3199999999999998</v>
      </c>
      <c r="AE13">
        <v>8.34</v>
      </c>
      <c r="AF13">
        <v>36.799999999999997</v>
      </c>
      <c r="AG13">
        <v>4.5999999999999996</v>
      </c>
      <c r="AH13">
        <v>580</v>
      </c>
      <c r="AJ13">
        <v>3</v>
      </c>
      <c r="AK13" t="s">
        <v>30</v>
      </c>
      <c r="AL13">
        <v>91010</v>
      </c>
    </row>
    <row r="14" spans="1:38" s="2" customFormat="1" x14ac:dyDescent="0.25">
      <c r="A14" s="2">
        <v>51012</v>
      </c>
      <c r="B14" s="3">
        <v>45602</v>
      </c>
      <c r="C14" s="2" t="s">
        <v>27</v>
      </c>
      <c r="D14" s="2">
        <v>3</v>
      </c>
      <c r="E14" s="2" t="s">
        <v>29</v>
      </c>
      <c r="F14" s="2">
        <v>51012</v>
      </c>
      <c r="G14" s="2">
        <v>1</v>
      </c>
      <c r="H14" s="2">
        <v>79</v>
      </c>
      <c r="I14" s="2">
        <v>1</v>
      </c>
      <c r="J14" s="2" t="s">
        <v>37</v>
      </c>
      <c r="K14" t="s">
        <v>43</v>
      </c>
      <c r="L14" s="2">
        <v>66</v>
      </c>
      <c r="M14" s="2">
        <v>79</v>
      </c>
      <c r="N14" s="3">
        <v>45602</v>
      </c>
      <c r="O14" s="3">
        <f t="shared" si="0"/>
        <v>45602</v>
      </c>
      <c r="P14" s="3">
        <f t="shared" si="3"/>
        <v>45615</v>
      </c>
      <c r="Q14" s="3">
        <f t="shared" si="1"/>
        <v>45668</v>
      </c>
      <c r="R14" s="3">
        <f t="shared" si="2"/>
        <v>45681</v>
      </c>
      <c r="S14" s="2" t="s">
        <v>28</v>
      </c>
      <c r="T14" s="2">
        <v>1</v>
      </c>
      <c r="U14" s="2">
        <v>62</v>
      </c>
      <c r="V14" s="2">
        <v>1</v>
      </c>
      <c r="W14" s="2">
        <v>169</v>
      </c>
      <c r="X14" s="2">
        <v>66</v>
      </c>
      <c r="Y14" s="2">
        <v>23.1</v>
      </c>
      <c r="Z14" s="2" t="b">
        <v>1</v>
      </c>
      <c r="AA14" s="2">
        <v>1</v>
      </c>
      <c r="AC14" s="2">
        <v>11.2</v>
      </c>
      <c r="AD14" s="2">
        <v>0.77</v>
      </c>
      <c r="AE14" s="2">
        <v>5.0999999999999996</v>
      </c>
      <c r="AF14" s="2">
        <v>279</v>
      </c>
      <c r="AG14" s="2">
        <v>41.8</v>
      </c>
      <c r="AJ14" s="2">
        <v>4</v>
      </c>
      <c r="AK14" s="2" t="s">
        <v>29</v>
      </c>
      <c r="AL14" s="2">
        <v>51012</v>
      </c>
    </row>
    <row r="15" spans="1:38" x14ac:dyDescent="0.25">
      <c r="A15" s="6">
        <v>41001</v>
      </c>
      <c r="B15" s="7">
        <v>45121</v>
      </c>
      <c r="C15" s="6" t="s">
        <v>27</v>
      </c>
      <c r="D15" s="6">
        <v>3</v>
      </c>
      <c r="E15" s="6" t="s">
        <v>30</v>
      </c>
      <c r="F15" s="6">
        <v>51012</v>
      </c>
      <c r="G15" s="6">
        <v>0</v>
      </c>
      <c r="H15" s="6">
        <v>790</v>
      </c>
      <c r="I15" s="6">
        <v>0</v>
      </c>
      <c r="J15" s="6" t="s">
        <v>37</v>
      </c>
      <c r="K15" s="6" t="s">
        <v>43</v>
      </c>
      <c r="L15" s="6">
        <v>66</v>
      </c>
      <c r="M15" s="6">
        <v>79</v>
      </c>
      <c r="N15" s="7">
        <v>45121</v>
      </c>
      <c r="O15" s="7">
        <f t="shared" si="0"/>
        <v>45121</v>
      </c>
      <c r="P15" s="7">
        <f t="shared" si="3"/>
        <v>45134</v>
      </c>
      <c r="Q15" s="7">
        <f t="shared" si="1"/>
        <v>45187</v>
      </c>
      <c r="R15" s="7">
        <f t="shared" si="2"/>
        <v>45200</v>
      </c>
      <c r="S15" t="s">
        <v>28</v>
      </c>
      <c r="T15">
        <v>1</v>
      </c>
      <c r="U15">
        <v>72</v>
      </c>
      <c r="W15">
        <v>158</v>
      </c>
      <c r="X15">
        <v>62.3</v>
      </c>
      <c r="Y15">
        <v>25</v>
      </c>
      <c r="Z15" t="b">
        <v>1</v>
      </c>
      <c r="AA15">
        <v>1</v>
      </c>
      <c r="AB15">
        <v>0</v>
      </c>
      <c r="AC15">
        <v>11.3</v>
      </c>
      <c r="AD15">
        <v>1.34</v>
      </c>
      <c r="AE15">
        <v>1.64</v>
      </c>
      <c r="AF15">
        <v>256</v>
      </c>
      <c r="AG15">
        <v>4.4000000000000004</v>
      </c>
      <c r="AH15">
        <v>570</v>
      </c>
      <c r="AI15">
        <v>12.7</v>
      </c>
      <c r="AJ15">
        <v>4</v>
      </c>
      <c r="AK15" t="s">
        <v>30</v>
      </c>
      <c r="AL15">
        <v>51012</v>
      </c>
    </row>
    <row r="16" spans="1:38" x14ac:dyDescent="0.25">
      <c r="A16" s="6">
        <v>91019</v>
      </c>
      <c r="B16" s="7">
        <v>45728</v>
      </c>
      <c r="C16" s="6" t="s">
        <v>27</v>
      </c>
      <c r="D16" s="6">
        <v>3</v>
      </c>
      <c r="E16" s="6" t="s">
        <v>30</v>
      </c>
      <c r="F16" s="6">
        <v>51012</v>
      </c>
      <c r="G16" s="6">
        <v>0</v>
      </c>
      <c r="H16" s="6">
        <v>183</v>
      </c>
      <c r="I16" s="6">
        <v>0</v>
      </c>
      <c r="J16" s="6" t="s">
        <v>37</v>
      </c>
      <c r="K16" s="6" t="s">
        <v>43</v>
      </c>
      <c r="L16" s="6">
        <v>66</v>
      </c>
      <c r="M16" s="6">
        <v>79</v>
      </c>
      <c r="N16" s="7">
        <v>45728</v>
      </c>
      <c r="O16" s="7">
        <f t="shared" si="0"/>
        <v>45728</v>
      </c>
      <c r="P16" s="7">
        <f t="shared" si="3"/>
        <v>45741</v>
      </c>
      <c r="Q16" s="7">
        <f t="shared" si="1"/>
        <v>45794</v>
      </c>
      <c r="R16" s="7">
        <f t="shared" si="2"/>
        <v>45807</v>
      </c>
      <c r="S16" t="s">
        <v>28</v>
      </c>
      <c r="T16">
        <v>1</v>
      </c>
      <c r="U16">
        <v>66</v>
      </c>
      <c r="V16">
        <v>1</v>
      </c>
      <c r="W16">
        <v>160</v>
      </c>
      <c r="X16">
        <v>48</v>
      </c>
      <c r="Y16">
        <v>18.8</v>
      </c>
      <c r="Z16" t="b">
        <v>1</v>
      </c>
      <c r="AA16">
        <v>1</v>
      </c>
      <c r="AB16">
        <v>1</v>
      </c>
      <c r="AC16">
        <v>13.6</v>
      </c>
      <c r="AD16">
        <v>1.4</v>
      </c>
      <c r="AE16">
        <v>6.77</v>
      </c>
      <c r="AF16">
        <v>187</v>
      </c>
      <c r="AG16">
        <v>4.0999999999999996</v>
      </c>
      <c r="AJ16">
        <v>4</v>
      </c>
      <c r="AK16" t="s">
        <v>30</v>
      </c>
      <c r="AL16">
        <v>51012</v>
      </c>
    </row>
    <row r="17" spans="1:38" x14ac:dyDescent="0.25">
      <c r="A17" s="6">
        <v>11003</v>
      </c>
      <c r="B17" s="7">
        <v>45265</v>
      </c>
      <c r="C17" s="6" t="s">
        <v>27</v>
      </c>
      <c r="D17" s="6">
        <v>3</v>
      </c>
      <c r="E17" s="6" t="s">
        <v>30</v>
      </c>
      <c r="F17" s="6">
        <v>51012</v>
      </c>
      <c r="G17" s="6">
        <v>1</v>
      </c>
      <c r="H17" s="6">
        <v>357</v>
      </c>
      <c r="I17" s="6">
        <v>0</v>
      </c>
      <c r="J17" s="6" t="s">
        <v>37</v>
      </c>
      <c r="K17" s="6" t="s">
        <v>43</v>
      </c>
      <c r="L17" s="6">
        <v>66</v>
      </c>
      <c r="M17" s="6">
        <v>79</v>
      </c>
      <c r="N17" s="7">
        <v>45273</v>
      </c>
      <c r="O17" s="7">
        <f t="shared" si="0"/>
        <v>45273</v>
      </c>
      <c r="P17" s="7">
        <f t="shared" si="3"/>
        <v>45286</v>
      </c>
      <c r="Q17" s="7">
        <f t="shared" si="1"/>
        <v>45339</v>
      </c>
      <c r="R17" s="7">
        <f t="shared" si="2"/>
        <v>45352</v>
      </c>
      <c r="S17" t="s">
        <v>28</v>
      </c>
      <c r="T17">
        <v>1</v>
      </c>
      <c r="U17">
        <v>55</v>
      </c>
      <c r="V17">
        <v>1</v>
      </c>
      <c r="W17">
        <v>172</v>
      </c>
      <c r="X17">
        <v>67</v>
      </c>
      <c r="Y17">
        <v>22.6</v>
      </c>
      <c r="Z17" t="b">
        <v>1</v>
      </c>
      <c r="AA17">
        <v>1</v>
      </c>
      <c r="AB17">
        <v>0</v>
      </c>
      <c r="AC17">
        <v>14.9</v>
      </c>
      <c r="AD17">
        <v>1.3</v>
      </c>
      <c r="AE17">
        <v>3.7</v>
      </c>
      <c r="AF17">
        <v>192</v>
      </c>
      <c r="AG17">
        <v>4.8099999999999996</v>
      </c>
      <c r="AJ17">
        <v>4</v>
      </c>
      <c r="AK17" t="s">
        <v>30</v>
      </c>
      <c r="AL17">
        <v>51012</v>
      </c>
    </row>
    <row r="18" spans="1:38" x14ac:dyDescent="0.25">
      <c r="A18" s="6">
        <v>91002</v>
      </c>
      <c r="B18" s="7">
        <v>45223</v>
      </c>
      <c r="C18" s="6" t="s">
        <v>27</v>
      </c>
      <c r="D18" s="6">
        <v>3</v>
      </c>
      <c r="E18" s="6" t="s">
        <v>30</v>
      </c>
      <c r="F18" s="6">
        <v>51012</v>
      </c>
      <c r="G18" s="6">
        <v>1</v>
      </c>
      <c r="H18" s="6">
        <v>202</v>
      </c>
      <c r="I18" s="6">
        <v>0</v>
      </c>
      <c r="J18" s="6" t="s">
        <v>37</v>
      </c>
      <c r="K18" s="6" t="s">
        <v>43</v>
      </c>
      <c r="L18" s="6">
        <v>66</v>
      </c>
      <c r="M18" s="6">
        <v>79</v>
      </c>
      <c r="N18" s="7">
        <v>45225</v>
      </c>
      <c r="O18" s="7">
        <f t="shared" si="0"/>
        <v>45225</v>
      </c>
      <c r="P18" s="7">
        <f t="shared" si="3"/>
        <v>45238</v>
      </c>
      <c r="Q18" s="7">
        <f t="shared" si="1"/>
        <v>45291</v>
      </c>
      <c r="R18" s="7">
        <f t="shared" si="2"/>
        <v>45304</v>
      </c>
      <c r="S18" t="s">
        <v>28</v>
      </c>
      <c r="T18">
        <v>1</v>
      </c>
      <c r="U18">
        <v>42</v>
      </c>
      <c r="V18">
        <v>1</v>
      </c>
      <c r="W18">
        <v>170</v>
      </c>
      <c r="X18">
        <v>69</v>
      </c>
      <c r="Y18">
        <v>23.9</v>
      </c>
      <c r="Z18" t="b">
        <v>1</v>
      </c>
      <c r="AA18">
        <v>1</v>
      </c>
      <c r="AB18">
        <v>1</v>
      </c>
      <c r="AC18">
        <v>11.2</v>
      </c>
      <c r="AD18">
        <v>2.0499999999999998</v>
      </c>
      <c r="AE18">
        <v>3.38</v>
      </c>
      <c r="AF18">
        <v>207</v>
      </c>
      <c r="AG18">
        <v>4.3</v>
      </c>
      <c r="AJ18">
        <v>4</v>
      </c>
      <c r="AK18" t="s">
        <v>30</v>
      </c>
      <c r="AL18">
        <v>51012</v>
      </c>
    </row>
    <row r="19" spans="1:38" x14ac:dyDescent="0.25">
      <c r="A19" s="6">
        <v>31003</v>
      </c>
      <c r="B19" s="7">
        <v>45323</v>
      </c>
      <c r="C19" s="6" t="s">
        <v>31</v>
      </c>
      <c r="D19" s="6">
        <v>3</v>
      </c>
      <c r="E19" s="6" t="s">
        <v>30</v>
      </c>
      <c r="F19" s="6">
        <v>51012</v>
      </c>
      <c r="G19" s="6">
        <v>0</v>
      </c>
      <c r="H19" s="6">
        <v>492</v>
      </c>
      <c r="I19" s="6">
        <v>0</v>
      </c>
      <c r="J19" s="6" t="s">
        <v>37</v>
      </c>
      <c r="K19" s="6" t="s">
        <v>43</v>
      </c>
      <c r="L19" s="6">
        <v>66</v>
      </c>
      <c r="M19" s="6">
        <v>79</v>
      </c>
      <c r="N19" s="7">
        <v>45336</v>
      </c>
      <c r="O19" s="7">
        <f t="shared" si="0"/>
        <v>45336</v>
      </c>
      <c r="P19" s="7">
        <f t="shared" si="3"/>
        <v>45349</v>
      </c>
      <c r="Q19" s="7">
        <f t="shared" si="1"/>
        <v>45402</v>
      </c>
      <c r="R19" s="7">
        <f t="shared" si="2"/>
        <v>45415</v>
      </c>
      <c r="S19" t="s">
        <v>28</v>
      </c>
      <c r="T19">
        <v>1</v>
      </c>
      <c r="U19">
        <v>47</v>
      </c>
      <c r="V19">
        <v>1</v>
      </c>
      <c r="W19">
        <v>170</v>
      </c>
      <c r="X19">
        <v>68</v>
      </c>
      <c r="Y19">
        <v>23.5</v>
      </c>
      <c r="Z19" t="b">
        <v>0</v>
      </c>
      <c r="AA19">
        <v>0</v>
      </c>
      <c r="AB19">
        <v>0</v>
      </c>
      <c r="AC19">
        <v>12.2</v>
      </c>
      <c r="AD19">
        <v>1.42</v>
      </c>
      <c r="AE19">
        <v>2.76</v>
      </c>
      <c r="AF19">
        <v>258</v>
      </c>
      <c r="AG19">
        <v>4.4000000000000004</v>
      </c>
      <c r="AH19">
        <v>3.52</v>
      </c>
      <c r="AI19">
        <v>1.4</v>
      </c>
      <c r="AJ19">
        <v>4</v>
      </c>
      <c r="AK19" t="s">
        <v>30</v>
      </c>
      <c r="AL19">
        <v>51012</v>
      </c>
    </row>
    <row r="20" spans="1:38" s="2" customFormat="1" x14ac:dyDescent="0.25">
      <c r="A20" s="2">
        <v>91009</v>
      </c>
      <c r="B20" s="3">
        <v>45422</v>
      </c>
      <c r="C20" s="2" t="s">
        <v>27</v>
      </c>
      <c r="D20" s="2">
        <v>4</v>
      </c>
      <c r="E20" s="2" t="s">
        <v>29</v>
      </c>
      <c r="F20" s="2">
        <v>91009</v>
      </c>
      <c r="G20" s="2">
        <v>1</v>
      </c>
      <c r="H20" s="2">
        <v>84</v>
      </c>
      <c r="I20" s="2">
        <v>1</v>
      </c>
      <c r="J20" s="2" t="s">
        <v>37</v>
      </c>
      <c r="K20" t="s">
        <v>44</v>
      </c>
      <c r="L20" s="2">
        <v>71</v>
      </c>
      <c r="M20" s="2">
        <v>84</v>
      </c>
      <c r="N20" s="3">
        <v>45422</v>
      </c>
      <c r="O20" s="3">
        <f t="shared" si="0"/>
        <v>45422</v>
      </c>
      <c r="P20" s="3">
        <f t="shared" si="3"/>
        <v>45435</v>
      </c>
      <c r="Q20" s="3">
        <f t="shared" si="1"/>
        <v>45493</v>
      </c>
      <c r="R20" s="3">
        <f t="shared" si="2"/>
        <v>45506</v>
      </c>
      <c r="S20" s="2" t="s">
        <v>28</v>
      </c>
      <c r="T20" s="2">
        <v>1</v>
      </c>
      <c r="U20" s="2">
        <v>50</v>
      </c>
      <c r="V20" s="2">
        <v>1</v>
      </c>
      <c r="W20" s="2">
        <v>159</v>
      </c>
      <c r="X20" s="2">
        <v>56.6</v>
      </c>
      <c r="Y20" s="2">
        <v>22.4</v>
      </c>
      <c r="Z20" s="2" t="b">
        <v>1</v>
      </c>
      <c r="AA20" s="2">
        <v>1</v>
      </c>
      <c r="AB20" s="2">
        <v>0</v>
      </c>
      <c r="AC20" s="2">
        <v>11.9</v>
      </c>
      <c r="AD20" s="2">
        <v>1.64</v>
      </c>
      <c r="AE20" s="2">
        <v>3.37</v>
      </c>
      <c r="AF20" s="2">
        <v>291</v>
      </c>
      <c r="AG20" s="2">
        <v>4.4000000000000004</v>
      </c>
      <c r="AJ20" s="2">
        <v>5</v>
      </c>
      <c r="AK20" s="2" t="s">
        <v>29</v>
      </c>
      <c r="AL20" s="2">
        <v>91009</v>
      </c>
    </row>
    <row r="21" spans="1:38" x14ac:dyDescent="0.25">
      <c r="A21" s="6">
        <v>71007</v>
      </c>
      <c r="B21" s="7">
        <v>45587</v>
      </c>
      <c r="C21" s="6" t="s">
        <v>27</v>
      </c>
      <c r="D21" s="6">
        <v>4</v>
      </c>
      <c r="E21" s="6" t="s">
        <v>30</v>
      </c>
      <c r="F21" s="6">
        <v>91009</v>
      </c>
      <c r="G21" s="6">
        <v>0</v>
      </c>
      <c r="H21" s="6">
        <v>316</v>
      </c>
      <c r="I21" s="6">
        <v>0</v>
      </c>
      <c r="J21" s="6" t="s">
        <v>37</v>
      </c>
      <c r="K21" s="6" t="s">
        <v>44</v>
      </c>
      <c r="L21" s="6">
        <v>71</v>
      </c>
      <c r="M21" s="6">
        <v>84</v>
      </c>
      <c r="N21" s="7">
        <v>45595</v>
      </c>
      <c r="O21" s="7">
        <f t="shared" si="0"/>
        <v>45595</v>
      </c>
      <c r="P21" s="7">
        <f t="shared" si="3"/>
        <v>45608</v>
      </c>
      <c r="Q21" s="7">
        <f t="shared" si="1"/>
        <v>45666</v>
      </c>
      <c r="R21" s="7">
        <f t="shared" si="2"/>
        <v>45679</v>
      </c>
      <c r="S21" t="s">
        <v>28</v>
      </c>
      <c r="T21">
        <v>1</v>
      </c>
      <c r="U21">
        <v>66</v>
      </c>
      <c r="V21">
        <v>1</v>
      </c>
      <c r="W21">
        <v>158</v>
      </c>
      <c r="X21">
        <v>53.9</v>
      </c>
      <c r="Y21">
        <v>21.6</v>
      </c>
      <c r="Z21" t="b">
        <v>1</v>
      </c>
      <c r="AA21">
        <v>1</v>
      </c>
      <c r="AB21">
        <v>0</v>
      </c>
      <c r="AC21">
        <v>13.8</v>
      </c>
      <c r="AD21">
        <v>2.87</v>
      </c>
      <c r="AE21">
        <v>3.56</v>
      </c>
      <c r="AF21">
        <v>407</v>
      </c>
      <c r="AJ21">
        <v>5</v>
      </c>
      <c r="AK21" t="s">
        <v>30</v>
      </c>
      <c r="AL21">
        <v>91009</v>
      </c>
    </row>
    <row r="22" spans="1:38" x14ac:dyDescent="0.25">
      <c r="A22" s="6">
        <v>41018</v>
      </c>
      <c r="B22" s="7">
        <v>45428</v>
      </c>
      <c r="C22" s="6" t="s">
        <v>31</v>
      </c>
      <c r="D22" s="6">
        <v>4</v>
      </c>
      <c r="E22" s="6" t="s">
        <v>30</v>
      </c>
      <c r="F22" s="6">
        <v>91009</v>
      </c>
      <c r="G22" s="6">
        <v>0</v>
      </c>
      <c r="H22" s="6">
        <v>363</v>
      </c>
      <c r="I22" s="6">
        <v>0</v>
      </c>
      <c r="J22" s="6" t="s">
        <v>37</v>
      </c>
      <c r="K22" s="6" t="s">
        <v>44</v>
      </c>
      <c r="L22" s="6">
        <v>71</v>
      </c>
      <c r="M22" s="6">
        <v>84</v>
      </c>
      <c r="N22" s="7">
        <v>45428</v>
      </c>
      <c r="O22" s="7">
        <f t="shared" si="0"/>
        <v>45428</v>
      </c>
      <c r="P22" s="7">
        <f t="shared" si="3"/>
        <v>45441</v>
      </c>
      <c r="Q22" s="7">
        <f t="shared" si="1"/>
        <v>45499</v>
      </c>
      <c r="R22" s="7">
        <f t="shared" si="2"/>
        <v>45512</v>
      </c>
      <c r="S22" t="s">
        <v>28</v>
      </c>
      <c r="T22">
        <v>1</v>
      </c>
      <c r="U22">
        <v>37</v>
      </c>
      <c r="W22">
        <v>168</v>
      </c>
      <c r="X22">
        <v>53</v>
      </c>
      <c r="Y22">
        <v>18.8</v>
      </c>
      <c r="Z22" t="b">
        <v>0</v>
      </c>
      <c r="AA22">
        <v>0</v>
      </c>
      <c r="AB22">
        <v>1</v>
      </c>
      <c r="AG22">
        <v>31</v>
      </c>
      <c r="AJ22">
        <v>5</v>
      </c>
      <c r="AK22" t="s">
        <v>30</v>
      </c>
      <c r="AL22">
        <v>91009</v>
      </c>
    </row>
    <row r="23" spans="1:38" x14ac:dyDescent="0.25">
      <c r="A23" s="6">
        <v>91014</v>
      </c>
      <c r="B23" s="7">
        <v>45596</v>
      </c>
      <c r="C23" s="6" t="s">
        <v>27</v>
      </c>
      <c r="D23" s="6">
        <v>4</v>
      </c>
      <c r="E23" s="6" t="s">
        <v>30</v>
      </c>
      <c r="F23" s="6">
        <v>91009</v>
      </c>
      <c r="G23" s="6">
        <v>0</v>
      </c>
      <c r="H23" s="6">
        <v>315</v>
      </c>
      <c r="I23" s="6">
        <v>0</v>
      </c>
      <c r="J23" s="6" t="s">
        <v>37</v>
      </c>
      <c r="K23" s="6" t="s">
        <v>44</v>
      </c>
      <c r="L23" s="6">
        <v>71</v>
      </c>
      <c r="M23" s="6">
        <v>84</v>
      </c>
      <c r="N23" s="7">
        <v>45596</v>
      </c>
      <c r="O23" s="7">
        <f t="shared" si="0"/>
        <v>45596</v>
      </c>
      <c r="P23" s="7">
        <f t="shared" si="3"/>
        <v>45609</v>
      </c>
      <c r="Q23" s="7">
        <f t="shared" si="1"/>
        <v>45667</v>
      </c>
      <c r="R23" s="7">
        <f t="shared" si="2"/>
        <v>45680</v>
      </c>
      <c r="S23" t="s">
        <v>28</v>
      </c>
      <c r="T23">
        <v>1</v>
      </c>
      <c r="U23">
        <v>50</v>
      </c>
      <c r="V23">
        <v>5</v>
      </c>
      <c r="W23">
        <v>167</v>
      </c>
      <c r="X23">
        <v>78.5</v>
      </c>
      <c r="Y23">
        <v>28.1</v>
      </c>
      <c r="Z23" t="b">
        <v>0</v>
      </c>
      <c r="AA23">
        <v>0</v>
      </c>
      <c r="AB23">
        <v>0</v>
      </c>
      <c r="AC23">
        <v>12.2</v>
      </c>
      <c r="AD23">
        <v>2.44</v>
      </c>
      <c r="AE23">
        <v>3.97</v>
      </c>
      <c r="AF23">
        <v>300</v>
      </c>
      <c r="AG23">
        <v>4.7</v>
      </c>
      <c r="AJ23">
        <v>5</v>
      </c>
      <c r="AK23" t="s">
        <v>30</v>
      </c>
      <c r="AL23">
        <v>91009</v>
      </c>
    </row>
    <row r="24" spans="1:38" x14ac:dyDescent="0.25">
      <c r="A24" s="6">
        <v>11004</v>
      </c>
      <c r="B24" s="7">
        <v>45280</v>
      </c>
      <c r="C24" s="6" t="s">
        <v>27</v>
      </c>
      <c r="D24" s="6">
        <v>4</v>
      </c>
      <c r="E24" s="6" t="s">
        <v>30</v>
      </c>
      <c r="F24" s="6">
        <v>91009</v>
      </c>
      <c r="G24" s="6">
        <v>0</v>
      </c>
      <c r="H24" s="6">
        <v>631</v>
      </c>
      <c r="I24" s="6">
        <v>0</v>
      </c>
      <c r="J24" s="6" t="s">
        <v>37</v>
      </c>
      <c r="K24" s="6" t="s">
        <v>44</v>
      </c>
      <c r="L24" s="6">
        <v>71</v>
      </c>
      <c r="M24" s="6">
        <v>84</v>
      </c>
      <c r="N24" s="7">
        <v>45280</v>
      </c>
      <c r="O24" s="7">
        <f t="shared" si="0"/>
        <v>45280</v>
      </c>
      <c r="P24" s="7">
        <f t="shared" si="3"/>
        <v>45293</v>
      </c>
      <c r="Q24" s="7">
        <f t="shared" si="1"/>
        <v>45351</v>
      </c>
      <c r="R24" s="7">
        <f t="shared" si="2"/>
        <v>45364</v>
      </c>
      <c r="S24" t="s">
        <v>28</v>
      </c>
      <c r="T24">
        <v>1</v>
      </c>
      <c r="U24">
        <v>54</v>
      </c>
      <c r="V24">
        <v>1</v>
      </c>
      <c r="W24">
        <v>179</v>
      </c>
      <c r="X24">
        <v>75</v>
      </c>
      <c r="Y24">
        <v>23.4</v>
      </c>
      <c r="Z24" t="b">
        <v>1</v>
      </c>
      <c r="AA24">
        <v>1</v>
      </c>
      <c r="AB24">
        <v>0</v>
      </c>
      <c r="AC24">
        <v>12.3</v>
      </c>
      <c r="AD24">
        <v>2.96</v>
      </c>
      <c r="AE24">
        <v>3.62</v>
      </c>
      <c r="AF24">
        <v>241</v>
      </c>
      <c r="AJ24">
        <v>5</v>
      </c>
      <c r="AK24" t="s">
        <v>30</v>
      </c>
      <c r="AL24">
        <v>91009</v>
      </c>
    </row>
    <row r="25" spans="1:38" x14ac:dyDescent="0.25">
      <c r="A25" s="6">
        <v>41025</v>
      </c>
      <c r="B25" s="7">
        <v>45573</v>
      </c>
      <c r="C25" s="6" t="s">
        <v>31</v>
      </c>
      <c r="D25" s="6">
        <v>4</v>
      </c>
      <c r="E25" s="6" t="s">
        <v>30</v>
      </c>
      <c r="F25" s="6">
        <v>91009</v>
      </c>
      <c r="G25" s="6">
        <v>0</v>
      </c>
      <c r="H25" s="6">
        <v>331</v>
      </c>
      <c r="I25" s="6">
        <v>0</v>
      </c>
      <c r="J25" s="6" t="s">
        <v>37</v>
      </c>
      <c r="K25" s="6" t="s">
        <v>44</v>
      </c>
      <c r="L25" s="6">
        <v>71</v>
      </c>
      <c r="M25" s="6">
        <v>84</v>
      </c>
      <c r="N25" s="7">
        <v>45580</v>
      </c>
      <c r="O25" s="7">
        <f t="shared" si="0"/>
        <v>45580</v>
      </c>
      <c r="P25" s="7">
        <f t="shared" si="3"/>
        <v>45593</v>
      </c>
      <c r="Q25" s="7">
        <f t="shared" si="1"/>
        <v>45651</v>
      </c>
      <c r="R25" s="7">
        <f t="shared" si="2"/>
        <v>45664</v>
      </c>
      <c r="S25" t="s">
        <v>28</v>
      </c>
      <c r="T25">
        <v>1</v>
      </c>
      <c r="U25">
        <v>69</v>
      </c>
      <c r="W25">
        <v>145</v>
      </c>
      <c r="X25">
        <v>61.25</v>
      </c>
      <c r="Y25">
        <v>29.1</v>
      </c>
      <c r="Z25" t="b">
        <v>1</v>
      </c>
      <c r="AA25">
        <v>1</v>
      </c>
      <c r="AB25">
        <v>0</v>
      </c>
      <c r="AC25">
        <v>12.6</v>
      </c>
      <c r="AD25">
        <v>2.11</v>
      </c>
      <c r="AE25">
        <v>3.1</v>
      </c>
      <c r="AF25">
        <v>170</v>
      </c>
      <c r="AG25">
        <v>4.5</v>
      </c>
      <c r="AH25">
        <v>500</v>
      </c>
      <c r="AJ25">
        <v>5</v>
      </c>
      <c r="AK25" t="s">
        <v>30</v>
      </c>
      <c r="AL25">
        <v>91009</v>
      </c>
    </row>
    <row r="26" spans="1:38" s="2" customFormat="1" x14ac:dyDescent="0.25">
      <c r="A26" s="2">
        <v>51005</v>
      </c>
      <c r="B26" s="3">
        <v>45373</v>
      </c>
      <c r="C26" s="2" t="s">
        <v>27</v>
      </c>
      <c r="D26" s="2">
        <v>5</v>
      </c>
      <c r="E26" s="2" t="s">
        <v>29</v>
      </c>
      <c r="F26" s="2">
        <v>51005</v>
      </c>
      <c r="G26" s="2">
        <v>1</v>
      </c>
      <c r="H26" s="2">
        <v>90</v>
      </c>
      <c r="I26" s="2">
        <v>1</v>
      </c>
      <c r="J26" s="2" t="s">
        <v>37</v>
      </c>
      <c r="K26" t="s">
        <v>45</v>
      </c>
      <c r="L26" s="2">
        <v>77</v>
      </c>
      <c r="M26" s="2">
        <v>90</v>
      </c>
      <c r="N26" s="3">
        <v>45399</v>
      </c>
      <c r="O26" s="3">
        <f t="shared" si="0"/>
        <v>45399</v>
      </c>
      <c r="P26" s="3">
        <f t="shared" si="3"/>
        <v>45412</v>
      </c>
      <c r="Q26" s="3">
        <f t="shared" si="1"/>
        <v>45476</v>
      </c>
      <c r="R26" s="3">
        <f t="shared" si="2"/>
        <v>45489</v>
      </c>
      <c r="S26" s="2" t="s">
        <v>28</v>
      </c>
      <c r="T26" s="2">
        <v>1</v>
      </c>
      <c r="U26" s="2">
        <v>66</v>
      </c>
      <c r="V26" s="2">
        <v>1</v>
      </c>
      <c r="W26" s="2">
        <v>168</v>
      </c>
      <c r="X26" s="2">
        <v>64</v>
      </c>
      <c r="Y26" s="2">
        <v>22.7</v>
      </c>
      <c r="Z26" s="2" t="b">
        <v>1</v>
      </c>
      <c r="AA26" s="2">
        <v>1</v>
      </c>
      <c r="AB26" s="2">
        <v>0</v>
      </c>
      <c r="AC26" s="2">
        <v>10.4</v>
      </c>
      <c r="AD26" s="2">
        <v>1.45</v>
      </c>
      <c r="AE26" s="2">
        <v>5.52</v>
      </c>
      <c r="AF26" s="2">
        <v>412</v>
      </c>
      <c r="AG26" s="2">
        <v>39.6</v>
      </c>
      <c r="AJ26" s="2">
        <v>6</v>
      </c>
      <c r="AK26" s="2" t="s">
        <v>29</v>
      </c>
      <c r="AL26" s="2">
        <v>51005</v>
      </c>
    </row>
    <row r="27" spans="1:38" x14ac:dyDescent="0.25">
      <c r="A27" s="6">
        <v>41012</v>
      </c>
      <c r="B27" s="7">
        <v>45370</v>
      </c>
      <c r="C27" s="6" t="s">
        <v>27</v>
      </c>
      <c r="D27" s="6">
        <v>5</v>
      </c>
      <c r="E27" s="6" t="s">
        <v>30</v>
      </c>
      <c r="F27" s="6">
        <v>51005</v>
      </c>
      <c r="G27" s="6">
        <v>0</v>
      </c>
      <c r="H27" s="6">
        <v>541</v>
      </c>
      <c r="I27" s="6">
        <v>0</v>
      </c>
      <c r="J27" s="6" t="s">
        <v>37</v>
      </c>
      <c r="K27" s="6" t="s">
        <v>45</v>
      </c>
      <c r="L27" s="6">
        <v>77</v>
      </c>
      <c r="M27" s="6">
        <v>90</v>
      </c>
      <c r="N27" s="7">
        <v>45370</v>
      </c>
      <c r="O27" s="7">
        <f t="shared" si="0"/>
        <v>45370</v>
      </c>
      <c r="P27" s="7">
        <f t="shared" si="3"/>
        <v>45383</v>
      </c>
      <c r="Q27" s="7">
        <f t="shared" si="1"/>
        <v>45447</v>
      </c>
      <c r="R27" s="7">
        <f t="shared" si="2"/>
        <v>45460</v>
      </c>
      <c r="S27" t="s">
        <v>28</v>
      </c>
      <c r="T27">
        <v>1</v>
      </c>
      <c r="U27">
        <v>70</v>
      </c>
      <c r="W27">
        <v>158</v>
      </c>
      <c r="X27">
        <v>84</v>
      </c>
      <c r="Y27">
        <v>33.6</v>
      </c>
      <c r="Z27" t="b">
        <v>1</v>
      </c>
      <c r="AA27">
        <v>1</v>
      </c>
      <c r="AB27">
        <v>0</v>
      </c>
      <c r="AC27">
        <v>12.4</v>
      </c>
      <c r="AD27">
        <v>1.95</v>
      </c>
      <c r="AE27">
        <v>4</v>
      </c>
      <c r="AF27">
        <v>299</v>
      </c>
      <c r="AH27">
        <v>490</v>
      </c>
      <c r="AJ27">
        <v>6</v>
      </c>
      <c r="AK27" t="s">
        <v>30</v>
      </c>
      <c r="AL27">
        <v>51005</v>
      </c>
    </row>
    <row r="28" spans="1:38" x14ac:dyDescent="0.25">
      <c r="A28" s="6">
        <v>31004</v>
      </c>
      <c r="B28" s="7">
        <v>45392</v>
      </c>
      <c r="C28" s="6" t="s">
        <v>27</v>
      </c>
      <c r="D28" s="6">
        <v>5</v>
      </c>
      <c r="E28" s="6" t="s">
        <v>30</v>
      </c>
      <c r="F28" s="6">
        <v>51005</v>
      </c>
      <c r="G28" s="6">
        <v>0</v>
      </c>
      <c r="H28" s="6">
        <v>519</v>
      </c>
      <c r="I28" s="6">
        <v>0</v>
      </c>
      <c r="J28" s="6" t="s">
        <v>37</v>
      </c>
      <c r="K28" s="6" t="s">
        <v>45</v>
      </c>
      <c r="L28" s="6">
        <v>77</v>
      </c>
      <c r="M28" s="6">
        <v>90</v>
      </c>
      <c r="N28" s="7">
        <v>45392</v>
      </c>
      <c r="O28" s="7">
        <f t="shared" si="0"/>
        <v>45392</v>
      </c>
      <c r="P28" s="7">
        <f t="shared" si="3"/>
        <v>45405</v>
      </c>
      <c r="Q28" s="7">
        <f t="shared" si="1"/>
        <v>45469</v>
      </c>
      <c r="R28" s="7">
        <f t="shared" si="2"/>
        <v>45482</v>
      </c>
      <c r="S28" t="s">
        <v>28</v>
      </c>
      <c r="T28">
        <v>1</v>
      </c>
      <c r="U28">
        <v>69</v>
      </c>
      <c r="V28">
        <v>1</v>
      </c>
      <c r="W28">
        <v>170</v>
      </c>
      <c r="X28">
        <v>72</v>
      </c>
      <c r="Y28">
        <v>24.9</v>
      </c>
      <c r="Z28" t="b">
        <v>1</v>
      </c>
      <c r="AA28">
        <v>1</v>
      </c>
      <c r="AB28">
        <v>0</v>
      </c>
      <c r="AC28">
        <v>12.3</v>
      </c>
      <c r="AD28">
        <v>1.19</v>
      </c>
      <c r="AE28">
        <v>4.9400000000000004</v>
      </c>
      <c r="AF28">
        <v>251</v>
      </c>
      <c r="AG28">
        <v>4.4000000000000004</v>
      </c>
      <c r="AH28">
        <v>5.97</v>
      </c>
      <c r="AI28">
        <v>14</v>
      </c>
      <c r="AJ28">
        <v>6</v>
      </c>
      <c r="AK28" t="s">
        <v>30</v>
      </c>
      <c r="AL28">
        <v>51005</v>
      </c>
    </row>
    <row r="29" spans="1:38" x14ac:dyDescent="0.25">
      <c r="A29" s="6">
        <v>91018</v>
      </c>
      <c r="B29" s="7">
        <v>45705</v>
      </c>
      <c r="C29" s="6" t="s">
        <v>27</v>
      </c>
      <c r="D29" s="6">
        <v>5</v>
      </c>
      <c r="E29" s="6" t="s">
        <v>30</v>
      </c>
      <c r="F29" s="6">
        <v>51005</v>
      </c>
      <c r="G29" s="6">
        <v>0</v>
      </c>
      <c r="H29" s="6">
        <v>205</v>
      </c>
      <c r="I29" s="6">
        <v>0</v>
      </c>
      <c r="J29" s="6" t="s">
        <v>37</v>
      </c>
      <c r="K29" s="6" t="s">
        <v>45</v>
      </c>
      <c r="L29" s="6">
        <v>77</v>
      </c>
      <c r="M29" s="6">
        <v>90</v>
      </c>
      <c r="N29" s="7">
        <v>45706</v>
      </c>
      <c r="O29" s="7">
        <f t="shared" si="0"/>
        <v>45706</v>
      </c>
      <c r="P29" s="7">
        <f t="shared" si="3"/>
        <v>45719</v>
      </c>
      <c r="Q29" s="7">
        <f t="shared" si="1"/>
        <v>45783</v>
      </c>
      <c r="R29" s="7">
        <f t="shared" si="2"/>
        <v>45796</v>
      </c>
      <c r="S29" t="s">
        <v>28</v>
      </c>
      <c r="T29">
        <v>1</v>
      </c>
      <c r="U29">
        <v>51</v>
      </c>
      <c r="V29">
        <v>1</v>
      </c>
      <c r="W29">
        <v>167</v>
      </c>
      <c r="X29">
        <v>82.3</v>
      </c>
      <c r="Y29">
        <v>29.5</v>
      </c>
      <c r="Z29" t="b">
        <v>0</v>
      </c>
      <c r="AA29">
        <v>0</v>
      </c>
      <c r="AB29">
        <v>1</v>
      </c>
      <c r="AC29">
        <v>13.7</v>
      </c>
      <c r="AD29">
        <v>1.39</v>
      </c>
      <c r="AE29">
        <v>3.23</v>
      </c>
      <c r="AF29">
        <v>183</v>
      </c>
      <c r="AJ29">
        <v>6</v>
      </c>
      <c r="AK29" t="s">
        <v>30</v>
      </c>
      <c r="AL29">
        <v>51005</v>
      </c>
    </row>
    <row r="30" spans="1:38" x14ac:dyDescent="0.25">
      <c r="A30" s="6">
        <v>41019</v>
      </c>
      <c r="B30" s="7">
        <v>45454</v>
      </c>
      <c r="C30" s="6" t="s">
        <v>27</v>
      </c>
      <c r="D30" s="6">
        <v>5</v>
      </c>
      <c r="E30" s="6" t="s">
        <v>30</v>
      </c>
      <c r="F30" s="6">
        <v>51005</v>
      </c>
      <c r="G30" s="6">
        <v>0</v>
      </c>
      <c r="H30" s="6">
        <v>457</v>
      </c>
      <c r="I30" s="6">
        <v>0</v>
      </c>
      <c r="J30" s="6" t="s">
        <v>37</v>
      </c>
      <c r="K30" s="6" t="s">
        <v>45</v>
      </c>
      <c r="L30" s="6">
        <v>77</v>
      </c>
      <c r="M30" s="6">
        <v>90</v>
      </c>
      <c r="N30" s="7">
        <v>45454</v>
      </c>
      <c r="O30" s="7">
        <f t="shared" si="0"/>
        <v>45454</v>
      </c>
      <c r="P30" s="7">
        <f t="shared" si="3"/>
        <v>45467</v>
      </c>
      <c r="Q30" s="7">
        <f t="shared" si="1"/>
        <v>45531</v>
      </c>
      <c r="R30" s="7">
        <f t="shared" si="2"/>
        <v>45544</v>
      </c>
      <c r="S30" t="s">
        <v>28</v>
      </c>
      <c r="T30">
        <v>1</v>
      </c>
      <c r="U30">
        <v>50</v>
      </c>
      <c r="W30">
        <v>170</v>
      </c>
      <c r="X30">
        <v>57.9</v>
      </c>
      <c r="Y30">
        <v>20</v>
      </c>
      <c r="Z30" t="b">
        <v>0</v>
      </c>
      <c r="AA30">
        <v>0</v>
      </c>
      <c r="AB30">
        <v>0</v>
      </c>
      <c r="AC30">
        <v>13.2</v>
      </c>
      <c r="AD30">
        <v>0.97</v>
      </c>
      <c r="AE30">
        <v>2.69</v>
      </c>
      <c r="AF30">
        <v>221</v>
      </c>
      <c r="AG30">
        <v>4.3</v>
      </c>
      <c r="AJ30">
        <v>6</v>
      </c>
      <c r="AK30" t="s">
        <v>30</v>
      </c>
      <c r="AL30">
        <v>51005</v>
      </c>
    </row>
    <row r="31" spans="1:38" x14ac:dyDescent="0.25">
      <c r="A31" s="6">
        <v>41010</v>
      </c>
      <c r="B31" s="7">
        <v>45329</v>
      </c>
      <c r="C31" s="6" t="s">
        <v>27</v>
      </c>
      <c r="D31" s="6">
        <v>5</v>
      </c>
      <c r="E31" s="6" t="s">
        <v>30</v>
      </c>
      <c r="F31" s="6">
        <v>51005</v>
      </c>
      <c r="G31" s="6">
        <v>0</v>
      </c>
      <c r="H31" s="6">
        <v>581</v>
      </c>
      <c r="I31" s="6">
        <v>0</v>
      </c>
      <c r="J31" s="6" t="s">
        <v>37</v>
      </c>
      <c r="K31" s="6" t="s">
        <v>45</v>
      </c>
      <c r="L31" s="6">
        <v>77</v>
      </c>
      <c r="M31" s="6">
        <v>90</v>
      </c>
      <c r="N31" s="7">
        <v>45330</v>
      </c>
      <c r="O31" s="7">
        <f t="shared" si="0"/>
        <v>45330</v>
      </c>
      <c r="P31" s="7">
        <f t="shared" si="3"/>
        <v>45343</v>
      </c>
      <c r="Q31" s="7">
        <f t="shared" si="1"/>
        <v>45407</v>
      </c>
      <c r="R31" s="7">
        <f t="shared" si="2"/>
        <v>45420</v>
      </c>
      <c r="S31" t="s">
        <v>28</v>
      </c>
      <c r="T31">
        <v>1</v>
      </c>
      <c r="U31">
        <v>62</v>
      </c>
      <c r="W31">
        <v>164</v>
      </c>
      <c r="X31">
        <v>70</v>
      </c>
      <c r="Y31">
        <v>26</v>
      </c>
      <c r="Z31" t="b">
        <v>0</v>
      </c>
      <c r="AA31">
        <v>0</v>
      </c>
      <c r="AB31">
        <v>0</v>
      </c>
      <c r="AC31">
        <v>12.6</v>
      </c>
      <c r="AD31">
        <v>0.91</v>
      </c>
      <c r="AE31">
        <v>2.25</v>
      </c>
      <c r="AF31">
        <v>234</v>
      </c>
      <c r="AG31">
        <v>4.3</v>
      </c>
      <c r="AH31">
        <v>530</v>
      </c>
      <c r="AJ31">
        <v>6</v>
      </c>
      <c r="AK31" t="s">
        <v>30</v>
      </c>
      <c r="AL31">
        <v>51005</v>
      </c>
    </row>
    <row r="32" spans="1:38" s="2" customFormat="1" x14ac:dyDescent="0.25">
      <c r="A32" s="2">
        <v>71008</v>
      </c>
      <c r="B32" s="3">
        <v>45601</v>
      </c>
      <c r="C32" s="2" t="s">
        <v>27</v>
      </c>
      <c r="D32" s="2">
        <v>6</v>
      </c>
      <c r="E32" s="2" t="s">
        <v>29</v>
      </c>
      <c r="F32" s="2">
        <v>71008</v>
      </c>
      <c r="G32" s="2">
        <v>1</v>
      </c>
      <c r="H32" s="2">
        <v>90</v>
      </c>
      <c r="I32" s="2">
        <v>1</v>
      </c>
      <c r="J32" s="2" t="s">
        <v>37</v>
      </c>
      <c r="K32" t="s">
        <v>45</v>
      </c>
      <c r="L32" s="2">
        <v>77</v>
      </c>
      <c r="M32" s="2">
        <v>90</v>
      </c>
      <c r="N32" s="3">
        <v>45615</v>
      </c>
      <c r="O32" s="3">
        <f t="shared" si="0"/>
        <v>45615</v>
      </c>
      <c r="P32" s="3">
        <f t="shared" si="3"/>
        <v>45628</v>
      </c>
      <c r="Q32" s="3">
        <f t="shared" si="1"/>
        <v>45692</v>
      </c>
      <c r="R32" s="3">
        <f t="shared" si="2"/>
        <v>45705</v>
      </c>
      <c r="S32" s="2" t="s">
        <v>28</v>
      </c>
      <c r="T32" s="2">
        <v>1</v>
      </c>
      <c r="U32" s="2">
        <v>47</v>
      </c>
      <c r="V32" s="2">
        <v>1</v>
      </c>
      <c r="W32" s="2">
        <v>175</v>
      </c>
      <c r="X32" s="2">
        <v>70</v>
      </c>
      <c r="Y32" s="2">
        <v>22.9</v>
      </c>
      <c r="Z32" s="2" t="b">
        <v>0</v>
      </c>
      <c r="AA32" s="2">
        <v>0</v>
      </c>
      <c r="AB32" s="2">
        <v>0</v>
      </c>
      <c r="AC32" s="2">
        <v>11.6</v>
      </c>
      <c r="AD32" s="2">
        <v>1.93</v>
      </c>
      <c r="AE32" s="2">
        <v>3.56</v>
      </c>
      <c r="AF32" s="2">
        <v>196</v>
      </c>
      <c r="AI32" s="2">
        <v>2.1</v>
      </c>
      <c r="AJ32" s="2">
        <v>7</v>
      </c>
      <c r="AK32" s="2" t="s">
        <v>29</v>
      </c>
      <c r="AL32" s="2">
        <v>71008</v>
      </c>
    </row>
    <row r="33" spans="1:38" x14ac:dyDescent="0.25">
      <c r="A33" s="6">
        <v>41009</v>
      </c>
      <c r="B33" s="7">
        <v>45261</v>
      </c>
      <c r="C33" s="6" t="s">
        <v>27</v>
      </c>
      <c r="D33" s="6">
        <v>6</v>
      </c>
      <c r="E33" s="6" t="s">
        <v>30</v>
      </c>
      <c r="F33" s="6">
        <v>71008</v>
      </c>
      <c r="G33" s="6">
        <v>0</v>
      </c>
      <c r="H33" s="6">
        <v>650</v>
      </c>
      <c r="I33" s="6">
        <v>0</v>
      </c>
      <c r="J33" s="6" t="s">
        <v>37</v>
      </c>
      <c r="K33" s="6" t="s">
        <v>45</v>
      </c>
      <c r="L33" s="6">
        <v>77</v>
      </c>
      <c r="M33" s="6">
        <v>90</v>
      </c>
      <c r="N33" s="7">
        <v>45261</v>
      </c>
      <c r="O33" s="7">
        <f t="shared" si="0"/>
        <v>45261</v>
      </c>
      <c r="P33" s="7">
        <f t="shared" si="3"/>
        <v>45274</v>
      </c>
      <c r="Q33" s="7">
        <f t="shared" si="1"/>
        <v>45338</v>
      </c>
      <c r="R33" s="7">
        <f t="shared" si="2"/>
        <v>45351</v>
      </c>
      <c r="S33" t="s">
        <v>28</v>
      </c>
      <c r="T33">
        <v>1</v>
      </c>
      <c r="U33">
        <v>63</v>
      </c>
      <c r="W33">
        <v>157</v>
      </c>
      <c r="X33">
        <v>58.6</v>
      </c>
      <c r="Y33">
        <v>23.8</v>
      </c>
      <c r="Z33" t="b">
        <v>1</v>
      </c>
      <c r="AA33">
        <v>1</v>
      </c>
      <c r="AB33">
        <v>1</v>
      </c>
      <c r="AC33">
        <v>14.5</v>
      </c>
      <c r="AD33">
        <v>2.79</v>
      </c>
      <c r="AE33">
        <v>3.7</v>
      </c>
      <c r="AF33">
        <v>327</v>
      </c>
      <c r="AG33">
        <v>5.0999999999999996</v>
      </c>
      <c r="AH33">
        <v>520</v>
      </c>
      <c r="AJ33">
        <v>7</v>
      </c>
      <c r="AK33" t="s">
        <v>30</v>
      </c>
      <c r="AL33">
        <v>71008</v>
      </c>
    </row>
    <row r="34" spans="1:38" x14ac:dyDescent="0.25">
      <c r="A34" s="6">
        <v>91015</v>
      </c>
      <c r="B34" s="7">
        <v>45694</v>
      </c>
      <c r="C34" s="6" t="s">
        <v>27</v>
      </c>
      <c r="D34" s="6">
        <v>6</v>
      </c>
      <c r="E34" s="6" t="s">
        <v>30</v>
      </c>
      <c r="F34" s="6">
        <v>71008</v>
      </c>
      <c r="G34" s="6">
        <v>0</v>
      </c>
      <c r="H34" s="6">
        <v>217</v>
      </c>
      <c r="I34" s="6">
        <v>0</v>
      </c>
      <c r="J34" s="6" t="s">
        <v>37</v>
      </c>
      <c r="K34" s="6" t="s">
        <v>45</v>
      </c>
      <c r="L34" s="6">
        <v>77</v>
      </c>
      <c r="M34" s="6">
        <v>90</v>
      </c>
      <c r="N34" s="7">
        <v>45694</v>
      </c>
      <c r="O34" s="7">
        <f t="shared" si="0"/>
        <v>45694</v>
      </c>
      <c r="P34" s="7">
        <f t="shared" si="3"/>
        <v>45707</v>
      </c>
      <c r="Q34" s="7">
        <f t="shared" si="1"/>
        <v>45771</v>
      </c>
      <c r="R34" s="7">
        <f t="shared" si="2"/>
        <v>45784</v>
      </c>
      <c r="S34" t="s">
        <v>28</v>
      </c>
      <c r="T34">
        <v>1</v>
      </c>
      <c r="U34">
        <v>48</v>
      </c>
      <c r="V34">
        <v>1</v>
      </c>
      <c r="W34">
        <v>160</v>
      </c>
      <c r="X34">
        <v>92.2</v>
      </c>
      <c r="Y34">
        <v>36</v>
      </c>
      <c r="Z34" t="b">
        <v>0</v>
      </c>
      <c r="AA34">
        <v>0</v>
      </c>
      <c r="AB34">
        <v>1</v>
      </c>
      <c r="AC34">
        <v>13.1</v>
      </c>
      <c r="AD34">
        <v>163</v>
      </c>
      <c r="AE34">
        <v>3.41</v>
      </c>
      <c r="AF34">
        <v>168</v>
      </c>
      <c r="AG34">
        <v>3.9</v>
      </c>
      <c r="AJ34">
        <v>7</v>
      </c>
      <c r="AK34" t="s">
        <v>30</v>
      </c>
      <c r="AL34">
        <v>71008</v>
      </c>
    </row>
    <row r="35" spans="1:38" x14ac:dyDescent="0.25">
      <c r="A35" s="6">
        <v>41007</v>
      </c>
      <c r="B35" s="7">
        <v>45203</v>
      </c>
      <c r="C35" s="6" t="s">
        <v>27</v>
      </c>
      <c r="D35" s="6">
        <v>6</v>
      </c>
      <c r="E35" s="6" t="s">
        <v>30</v>
      </c>
      <c r="F35" s="6">
        <v>71008</v>
      </c>
      <c r="G35" s="6">
        <v>1</v>
      </c>
      <c r="H35" s="6">
        <v>387</v>
      </c>
      <c r="I35" s="6">
        <v>0</v>
      </c>
      <c r="J35" s="6" t="s">
        <v>37</v>
      </c>
      <c r="K35" s="6" t="s">
        <v>45</v>
      </c>
      <c r="L35" s="6">
        <v>77</v>
      </c>
      <c r="M35" s="6">
        <v>90</v>
      </c>
      <c r="N35" s="7">
        <v>45203</v>
      </c>
      <c r="O35" s="7">
        <f t="shared" si="0"/>
        <v>45203</v>
      </c>
      <c r="P35" s="7">
        <f t="shared" si="3"/>
        <v>45216</v>
      </c>
      <c r="Q35" s="7">
        <f t="shared" si="1"/>
        <v>45280</v>
      </c>
      <c r="R35" s="7">
        <f t="shared" si="2"/>
        <v>45293</v>
      </c>
      <c r="S35" t="s">
        <v>28</v>
      </c>
      <c r="T35">
        <v>1</v>
      </c>
      <c r="U35">
        <v>55</v>
      </c>
      <c r="W35">
        <v>164</v>
      </c>
      <c r="X35">
        <v>64</v>
      </c>
      <c r="Y35">
        <v>23.8</v>
      </c>
      <c r="Z35" t="b">
        <v>1</v>
      </c>
      <c r="AA35">
        <v>1</v>
      </c>
      <c r="AB35">
        <v>1</v>
      </c>
      <c r="AC35">
        <v>92</v>
      </c>
      <c r="AD35">
        <v>2.79</v>
      </c>
      <c r="AE35">
        <v>4.3600000000000003</v>
      </c>
      <c r="AF35">
        <v>348</v>
      </c>
      <c r="AG35">
        <v>40</v>
      </c>
      <c r="AH35">
        <v>5</v>
      </c>
      <c r="AI35">
        <v>3.8</v>
      </c>
      <c r="AJ35">
        <v>7</v>
      </c>
      <c r="AK35" t="s">
        <v>30</v>
      </c>
      <c r="AL35">
        <v>71008</v>
      </c>
    </row>
    <row r="36" spans="1:38" x14ac:dyDescent="0.25">
      <c r="A36" s="6">
        <v>91007</v>
      </c>
      <c r="B36" s="7">
        <v>45338</v>
      </c>
      <c r="C36" s="6" t="s">
        <v>27</v>
      </c>
      <c r="D36" s="6">
        <v>6</v>
      </c>
      <c r="E36" s="6" t="s">
        <v>30</v>
      </c>
      <c r="F36" s="6">
        <v>71008</v>
      </c>
      <c r="G36" s="6">
        <v>0</v>
      </c>
      <c r="H36" s="6">
        <v>555</v>
      </c>
      <c r="I36" s="6">
        <v>0</v>
      </c>
      <c r="J36" s="6" t="s">
        <v>37</v>
      </c>
      <c r="K36" s="6" t="s">
        <v>45</v>
      </c>
      <c r="L36" s="6">
        <v>77</v>
      </c>
      <c r="M36" s="6">
        <v>90</v>
      </c>
      <c r="N36" s="7">
        <v>45356</v>
      </c>
      <c r="O36" s="7">
        <f t="shared" si="0"/>
        <v>45356</v>
      </c>
      <c r="P36" s="7">
        <f t="shared" si="3"/>
        <v>45369</v>
      </c>
      <c r="Q36" s="7">
        <f t="shared" si="1"/>
        <v>45433</v>
      </c>
      <c r="R36" s="7">
        <f t="shared" si="2"/>
        <v>45446</v>
      </c>
      <c r="S36" t="s">
        <v>28</v>
      </c>
      <c r="T36">
        <v>1</v>
      </c>
      <c r="U36">
        <v>54</v>
      </c>
      <c r="V36">
        <v>1</v>
      </c>
      <c r="W36">
        <v>165</v>
      </c>
      <c r="X36">
        <v>84</v>
      </c>
      <c r="Y36">
        <v>30.9</v>
      </c>
      <c r="Z36" t="b">
        <v>0</v>
      </c>
      <c r="AA36">
        <v>0</v>
      </c>
      <c r="AB36">
        <v>0</v>
      </c>
      <c r="AC36">
        <v>14.6</v>
      </c>
      <c r="AD36">
        <v>2.0499999999999998</v>
      </c>
      <c r="AE36">
        <v>1.93</v>
      </c>
      <c r="AF36">
        <v>302</v>
      </c>
      <c r="AG36">
        <v>4.7</v>
      </c>
      <c r="AJ36">
        <v>7</v>
      </c>
      <c r="AK36" t="s">
        <v>30</v>
      </c>
      <c r="AL36">
        <v>71008</v>
      </c>
    </row>
    <row r="37" spans="1:38" x14ac:dyDescent="0.25">
      <c r="A37" s="6">
        <v>41022</v>
      </c>
      <c r="B37" s="7">
        <v>45511</v>
      </c>
      <c r="C37" s="6" t="s">
        <v>27</v>
      </c>
      <c r="D37" s="6">
        <v>6</v>
      </c>
      <c r="E37" s="6" t="s">
        <v>30</v>
      </c>
      <c r="F37" s="6">
        <v>71008</v>
      </c>
      <c r="G37" s="6">
        <v>0</v>
      </c>
      <c r="H37" s="6">
        <v>400</v>
      </c>
      <c r="I37" s="6">
        <v>0</v>
      </c>
      <c r="J37" s="6" t="s">
        <v>37</v>
      </c>
      <c r="K37" s="6" t="s">
        <v>45</v>
      </c>
      <c r="L37" s="6">
        <v>77</v>
      </c>
      <c r="M37" s="6">
        <v>90</v>
      </c>
      <c r="N37" s="7">
        <v>45511</v>
      </c>
      <c r="O37" s="7">
        <f t="shared" si="0"/>
        <v>45511</v>
      </c>
      <c r="P37" s="7">
        <f t="shared" si="3"/>
        <v>45524</v>
      </c>
      <c r="Q37" s="7">
        <f t="shared" si="1"/>
        <v>45588</v>
      </c>
      <c r="R37" s="7">
        <f t="shared" si="2"/>
        <v>45601</v>
      </c>
      <c r="S37" t="s">
        <v>28</v>
      </c>
      <c r="T37">
        <v>1</v>
      </c>
      <c r="U37">
        <v>71</v>
      </c>
      <c r="W37">
        <v>156</v>
      </c>
      <c r="X37">
        <v>78.599999999999994</v>
      </c>
      <c r="Y37">
        <v>32.299999999999997</v>
      </c>
      <c r="Z37" t="b">
        <v>1</v>
      </c>
      <c r="AA37">
        <v>1</v>
      </c>
      <c r="AB37">
        <v>1</v>
      </c>
      <c r="AC37">
        <v>13.8</v>
      </c>
      <c r="AD37">
        <v>2.98</v>
      </c>
      <c r="AE37">
        <v>6.32</v>
      </c>
      <c r="AF37">
        <v>404</v>
      </c>
      <c r="AG37">
        <v>4.3</v>
      </c>
      <c r="AH37">
        <v>500</v>
      </c>
      <c r="AJ37">
        <v>7</v>
      </c>
      <c r="AK37" t="s">
        <v>30</v>
      </c>
      <c r="AL37">
        <v>71008</v>
      </c>
    </row>
    <row r="38" spans="1:38" s="2" customFormat="1" x14ac:dyDescent="0.25">
      <c r="A38" s="2">
        <v>41005</v>
      </c>
      <c r="B38" s="3">
        <v>45140</v>
      </c>
      <c r="C38" s="2" t="s">
        <v>27</v>
      </c>
      <c r="D38" s="2">
        <v>7</v>
      </c>
      <c r="E38" s="2" t="s">
        <v>29</v>
      </c>
      <c r="F38" s="2">
        <v>41005</v>
      </c>
      <c r="G38" s="2">
        <v>1</v>
      </c>
      <c r="H38" s="2">
        <v>153</v>
      </c>
      <c r="I38" s="2">
        <v>1</v>
      </c>
      <c r="J38" s="2" t="s">
        <v>37</v>
      </c>
      <c r="K38" t="s">
        <v>46</v>
      </c>
      <c r="L38" s="2">
        <v>140</v>
      </c>
      <c r="M38" s="2">
        <v>153</v>
      </c>
      <c r="N38" s="3">
        <v>45140</v>
      </c>
      <c r="O38" s="3">
        <f t="shared" si="0"/>
        <v>45140</v>
      </c>
      <c r="P38" s="3">
        <f t="shared" si="3"/>
        <v>45153</v>
      </c>
      <c r="Q38" s="3">
        <f t="shared" si="1"/>
        <v>45280</v>
      </c>
      <c r="R38" s="3">
        <f t="shared" si="2"/>
        <v>45293</v>
      </c>
      <c r="S38" s="2" t="s">
        <v>28</v>
      </c>
      <c r="T38" s="2">
        <v>1</v>
      </c>
      <c r="U38" s="2">
        <v>28</v>
      </c>
      <c r="W38" s="2">
        <v>160</v>
      </c>
      <c r="X38" s="2">
        <v>89.4</v>
      </c>
      <c r="Y38" s="2">
        <v>34.9</v>
      </c>
      <c r="Z38" s="2" t="b">
        <v>0</v>
      </c>
      <c r="AA38" s="2">
        <v>0</v>
      </c>
      <c r="AB38" s="2">
        <v>0</v>
      </c>
      <c r="AC38" s="2">
        <v>143</v>
      </c>
      <c r="AD38" s="2">
        <v>2.09</v>
      </c>
      <c r="AE38" s="2">
        <v>5</v>
      </c>
      <c r="AF38" s="2">
        <v>293</v>
      </c>
      <c r="AG38" s="2">
        <v>46</v>
      </c>
      <c r="AH38" s="2">
        <v>3.7</v>
      </c>
      <c r="AJ38" s="2">
        <v>8</v>
      </c>
      <c r="AK38" s="2" t="s">
        <v>29</v>
      </c>
      <c r="AL38" s="2">
        <v>41005</v>
      </c>
    </row>
    <row r="39" spans="1:38" x14ac:dyDescent="0.25">
      <c r="A39" s="6">
        <v>31001</v>
      </c>
      <c r="B39" s="7">
        <v>45097</v>
      </c>
      <c r="C39" s="6" t="s">
        <v>27</v>
      </c>
      <c r="D39" s="6">
        <v>7</v>
      </c>
      <c r="E39" s="6" t="s">
        <v>30</v>
      </c>
      <c r="F39" s="6">
        <v>41005</v>
      </c>
      <c r="G39" s="6">
        <v>0</v>
      </c>
      <c r="H39" s="6">
        <v>814</v>
      </c>
      <c r="I39" s="6">
        <v>0</v>
      </c>
      <c r="J39" s="6" t="s">
        <v>37</v>
      </c>
      <c r="K39" s="6" t="s">
        <v>46</v>
      </c>
      <c r="L39" s="6">
        <v>140</v>
      </c>
      <c r="M39" s="6">
        <v>153</v>
      </c>
      <c r="N39" s="7">
        <v>45097</v>
      </c>
      <c r="O39" s="7">
        <f t="shared" si="0"/>
        <v>45097</v>
      </c>
      <c r="P39" s="7">
        <f t="shared" si="3"/>
        <v>45110</v>
      </c>
      <c r="Q39" s="7">
        <f t="shared" si="1"/>
        <v>45237</v>
      </c>
      <c r="R39" s="7">
        <f t="shared" si="2"/>
        <v>45250</v>
      </c>
      <c r="S39" t="s">
        <v>28</v>
      </c>
      <c r="T39">
        <v>1</v>
      </c>
      <c r="U39">
        <v>71</v>
      </c>
      <c r="V39">
        <v>1</v>
      </c>
      <c r="W39">
        <v>168</v>
      </c>
      <c r="X39">
        <v>62</v>
      </c>
      <c r="Y39">
        <v>22</v>
      </c>
      <c r="Z39" t="b">
        <v>1</v>
      </c>
      <c r="AA39">
        <v>1</v>
      </c>
      <c r="AB39">
        <v>0</v>
      </c>
      <c r="AC39">
        <v>14.3</v>
      </c>
      <c r="AD39">
        <v>1.02</v>
      </c>
      <c r="AE39">
        <v>4.1100000000000003</v>
      </c>
      <c r="AF39">
        <v>244</v>
      </c>
      <c r="AG39">
        <v>4.3</v>
      </c>
      <c r="AH39">
        <v>5.33</v>
      </c>
      <c r="AI39">
        <v>7.9</v>
      </c>
      <c r="AJ39">
        <v>8</v>
      </c>
      <c r="AK39" t="s">
        <v>30</v>
      </c>
      <c r="AL39">
        <v>41005</v>
      </c>
    </row>
    <row r="40" spans="1:38" x14ac:dyDescent="0.25">
      <c r="A40" s="6">
        <v>91001</v>
      </c>
      <c r="B40" s="7">
        <v>45222</v>
      </c>
      <c r="C40" s="6" t="s">
        <v>31</v>
      </c>
      <c r="D40" s="6">
        <v>7</v>
      </c>
      <c r="E40" s="6" t="s">
        <v>30</v>
      </c>
      <c r="F40" s="6">
        <v>41005</v>
      </c>
      <c r="G40" s="6">
        <v>1</v>
      </c>
      <c r="H40" s="6">
        <v>482</v>
      </c>
      <c r="I40" s="6">
        <v>0</v>
      </c>
      <c r="J40" s="6" t="s">
        <v>37</v>
      </c>
      <c r="K40" s="6" t="s">
        <v>46</v>
      </c>
      <c r="L40" s="6">
        <v>140</v>
      </c>
      <c r="M40" s="6">
        <v>153</v>
      </c>
      <c r="N40" s="7">
        <v>45225</v>
      </c>
      <c r="O40" s="7">
        <f t="shared" si="0"/>
        <v>45225</v>
      </c>
      <c r="P40" s="7">
        <f t="shared" si="3"/>
        <v>45238</v>
      </c>
      <c r="Q40" s="7">
        <f t="shared" si="1"/>
        <v>45365</v>
      </c>
      <c r="R40" s="7">
        <f t="shared" si="2"/>
        <v>45378</v>
      </c>
      <c r="S40" t="s">
        <v>28</v>
      </c>
      <c r="T40">
        <v>1</v>
      </c>
      <c r="U40">
        <v>66</v>
      </c>
      <c r="V40">
        <v>1</v>
      </c>
      <c r="W40">
        <v>163</v>
      </c>
      <c r="X40">
        <v>72</v>
      </c>
      <c r="Y40">
        <v>27.1</v>
      </c>
      <c r="Z40" t="b">
        <v>1</v>
      </c>
      <c r="AA40">
        <v>1</v>
      </c>
      <c r="AB40">
        <v>1</v>
      </c>
      <c r="AC40">
        <v>14.2</v>
      </c>
      <c r="AD40">
        <v>1.37</v>
      </c>
      <c r="AE40">
        <v>4.5</v>
      </c>
      <c r="AF40">
        <v>89</v>
      </c>
      <c r="AG40">
        <v>4.5999999999999996</v>
      </c>
      <c r="AJ40">
        <v>8</v>
      </c>
      <c r="AK40" t="s">
        <v>30</v>
      </c>
      <c r="AL40">
        <v>41005</v>
      </c>
    </row>
    <row r="41" spans="1:38" x14ac:dyDescent="0.25">
      <c r="A41" s="6">
        <v>11005</v>
      </c>
      <c r="B41" s="7">
        <v>45378</v>
      </c>
      <c r="C41" s="6" t="s">
        <v>27</v>
      </c>
      <c r="D41" s="6">
        <v>7</v>
      </c>
      <c r="E41" s="6" t="s">
        <v>30</v>
      </c>
      <c r="F41" s="6">
        <v>41005</v>
      </c>
      <c r="G41" s="6">
        <v>0</v>
      </c>
      <c r="H41" s="6">
        <v>533</v>
      </c>
      <c r="I41" s="6">
        <v>0</v>
      </c>
      <c r="J41" s="6" t="s">
        <v>37</v>
      </c>
      <c r="K41" s="6" t="s">
        <v>46</v>
      </c>
      <c r="L41" s="6">
        <v>140</v>
      </c>
      <c r="M41" s="6">
        <v>153</v>
      </c>
      <c r="N41" s="7">
        <v>45378</v>
      </c>
      <c r="O41" s="7">
        <f t="shared" si="0"/>
        <v>45378</v>
      </c>
      <c r="P41" s="7">
        <f t="shared" si="3"/>
        <v>45391</v>
      </c>
      <c r="Q41" s="7">
        <f t="shared" si="1"/>
        <v>45518</v>
      </c>
      <c r="R41" s="7">
        <f t="shared" si="2"/>
        <v>45531</v>
      </c>
      <c r="S41" t="s">
        <v>28</v>
      </c>
      <c r="T41">
        <v>1</v>
      </c>
      <c r="U41">
        <v>51</v>
      </c>
      <c r="V41">
        <v>1</v>
      </c>
      <c r="W41">
        <v>153</v>
      </c>
      <c r="X41">
        <v>56</v>
      </c>
      <c r="Y41">
        <v>23.9</v>
      </c>
      <c r="Z41" t="b">
        <v>1</v>
      </c>
      <c r="AA41">
        <v>1</v>
      </c>
      <c r="AB41">
        <v>0</v>
      </c>
      <c r="AC41">
        <v>15.2</v>
      </c>
      <c r="AD41">
        <v>2.15</v>
      </c>
      <c r="AE41">
        <v>2.86</v>
      </c>
      <c r="AF41">
        <v>237</v>
      </c>
      <c r="AG41">
        <v>4.42</v>
      </c>
      <c r="AJ41">
        <v>8</v>
      </c>
      <c r="AK41" t="s">
        <v>30</v>
      </c>
      <c r="AL41">
        <v>41005</v>
      </c>
    </row>
    <row r="42" spans="1:38" x14ac:dyDescent="0.25">
      <c r="A42" s="6">
        <v>81009</v>
      </c>
      <c r="B42" s="7">
        <v>45548</v>
      </c>
      <c r="C42" s="6" t="s">
        <v>27</v>
      </c>
      <c r="D42" s="6">
        <v>7</v>
      </c>
      <c r="E42" s="6" t="s">
        <v>30</v>
      </c>
      <c r="F42" s="6">
        <v>41005</v>
      </c>
      <c r="G42" s="6">
        <v>1</v>
      </c>
      <c r="H42" s="6">
        <v>335</v>
      </c>
      <c r="I42" s="6">
        <v>0</v>
      </c>
      <c r="J42" s="6" t="s">
        <v>37</v>
      </c>
      <c r="K42" s="6" t="s">
        <v>46</v>
      </c>
      <c r="L42" s="6">
        <v>140</v>
      </c>
      <c r="M42" s="6">
        <v>153</v>
      </c>
      <c r="N42" s="7">
        <v>45548</v>
      </c>
      <c r="O42" s="7">
        <f t="shared" si="0"/>
        <v>45548</v>
      </c>
      <c r="P42" s="7">
        <f t="shared" si="3"/>
        <v>45561</v>
      </c>
      <c r="Q42" s="7">
        <f t="shared" si="1"/>
        <v>45688</v>
      </c>
      <c r="R42" s="7">
        <f t="shared" si="2"/>
        <v>45701</v>
      </c>
      <c r="S42" t="s">
        <v>28</v>
      </c>
      <c r="T42">
        <v>1</v>
      </c>
      <c r="U42">
        <v>48</v>
      </c>
      <c r="V42">
        <v>1</v>
      </c>
      <c r="W42">
        <v>161</v>
      </c>
      <c r="X42">
        <v>106</v>
      </c>
      <c r="Y42">
        <v>40.9</v>
      </c>
      <c r="Z42" t="b">
        <v>0</v>
      </c>
      <c r="AA42">
        <v>0</v>
      </c>
      <c r="AB42">
        <v>1</v>
      </c>
      <c r="AC42">
        <v>15</v>
      </c>
      <c r="AD42">
        <v>2.65</v>
      </c>
      <c r="AE42">
        <v>4.21</v>
      </c>
      <c r="AF42">
        <v>276</v>
      </c>
      <c r="AG42">
        <v>5.0999999999999996</v>
      </c>
      <c r="AJ42">
        <v>8</v>
      </c>
      <c r="AK42" t="s">
        <v>30</v>
      </c>
      <c r="AL42">
        <v>41005</v>
      </c>
    </row>
    <row r="43" spans="1:38" x14ac:dyDescent="0.25">
      <c r="A43" s="6">
        <v>51006</v>
      </c>
      <c r="B43" s="7">
        <v>45443</v>
      </c>
      <c r="C43" s="6" t="s">
        <v>27</v>
      </c>
      <c r="D43" s="6">
        <v>7</v>
      </c>
      <c r="E43" s="6" t="s">
        <v>30</v>
      </c>
      <c r="F43" s="6">
        <v>41005</v>
      </c>
      <c r="G43" s="6">
        <v>0</v>
      </c>
      <c r="H43" s="6">
        <v>468</v>
      </c>
      <c r="I43" s="6">
        <v>0</v>
      </c>
      <c r="J43" s="6" t="s">
        <v>37</v>
      </c>
      <c r="K43" s="6" t="s">
        <v>46</v>
      </c>
      <c r="L43" s="6">
        <v>140</v>
      </c>
      <c r="M43" s="6">
        <v>153</v>
      </c>
      <c r="N43" s="7">
        <v>45443</v>
      </c>
      <c r="O43" s="7">
        <f t="shared" si="0"/>
        <v>45443</v>
      </c>
      <c r="P43" s="7">
        <f t="shared" si="3"/>
        <v>45456</v>
      </c>
      <c r="Q43" s="7">
        <f t="shared" si="1"/>
        <v>45583</v>
      </c>
      <c r="R43" s="7">
        <f t="shared" si="2"/>
        <v>45596</v>
      </c>
      <c r="S43" t="s">
        <v>28</v>
      </c>
      <c r="T43">
        <v>1</v>
      </c>
      <c r="U43">
        <v>61</v>
      </c>
      <c r="V43">
        <v>1</v>
      </c>
      <c r="W43">
        <v>158</v>
      </c>
      <c r="X43">
        <v>85.5</v>
      </c>
      <c r="Y43">
        <v>34.200000000000003</v>
      </c>
      <c r="Z43" t="b">
        <v>1</v>
      </c>
      <c r="AA43">
        <v>1</v>
      </c>
      <c r="AB43">
        <v>1</v>
      </c>
      <c r="AC43">
        <v>12.1</v>
      </c>
      <c r="AD43">
        <v>1.66</v>
      </c>
      <c r="AE43">
        <v>1.03</v>
      </c>
      <c r="AF43">
        <v>268</v>
      </c>
      <c r="AG43">
        <v>40.4</v>
      </c>
      <c r="AI43">
        <v>0.27</v>
      </c>
      <c r="AJ43">
        <v>8</v>
      </c>
      <c r="AK43" t="s">
        <v>30</v>
      </c>
      <c r="AL43">
        <v>41005</v>
      </c>
    </row>
    <row r="44" spans="1:38" s="2" customFormat="1" x14ac:dyDescent="0.25">
      <c r="A44" s="2">
        <v>71004</v>
      </c>
      <c r="B44" s="3">
        <v>45407</v>
      </c>
      <c r="C44" s="2" t="s">
        <v>27</v>
      </c>
      <c r="D44" s="2">
        <v>8</v>
      </c>
      <c r="E44" s="2" t="s">
        <v>29</v>
      </c>
      <c r="F44" s="2">
        <v>71004</v>
      </c>
      <c r="G44" s="2">
        <v>1</v>
      </c>
      <c r="H44" s="2">
        <v>159</v>
      </c>
      <c r="I44" s="2">
        <v>1</v>
      </c>
      <c r="J44" s="2" t="s">
        <v>37</v>
      </c>
      <c r="K44" t="s">
        <v>47</v>
      </c>
      <c r="L44" s="2">
        <v>146</v>
      </c>
      <c r="M44" s="2">
        <v>159</v>
      </c>
      <c r="N44" s="3">
        <v>45408</v>
      </c>
      <c r="O44" s="3">
        <f t="shared" si="0"/>
        <v>45408</v>
      </c>
      <c r="P44" s="3">
        <f t="shared" si="3"/>
        <v>45421</v>
      </c>
      <c r="Q44" s="3">
        <f t="shared" si="1"/>
        <v>45554</v>
      </c>
      <c r="R44" s="3">
        <f t="shared" si="2"/>
        <v>45567</v>
      </c>
      <c r="S44" s="2" t="s">
        <v>28</v>
      </c>
      <c r="T44" s="2">
        <v>1</v>
      </c>
      <c r="U44" s="2">
        <v>66</v>
      </c>
      <c r="V44" s="2">
        <v>1</v>
      </c>
      <c r="W44" s="2">
        <v>157</v>
      </c>
      <c r="X44" s="2">
        <v>78.5</v>
      </c>
      <c r="Y44" s="2">
        <v>31.8</v>
      </c>
      <c r="Z44" s="2" t="b">
        <v>1</v>
      </c>
      <c r="AA44" s="2">
        <v>1</v>
      </c>
      <c r="AB44" s="2">
        <v>0</v>
      </c>
      <c r="AC44" s="2">
        <v>13.4</v>
      </c>
      <c r="AD44" s="2">
        <v>2.38</v>
      </c>
      <c r="AE44" s="2">
        <v>3.43</v>
      </c>
      <c r="AF44" s="2">
        <v>208</v>
      </c>
      <c r="AJ44" s="2">
        <v>9</v>
      </c>
      <c r="AK44" s="2" t="s">
        <v>29</v>
      </c>
      <c r="AL44" s="2">
        <v>71004</v>
      </c>
    </row>
    <row r="45" spans="1:38" x14ac:dyDescent="0.25">
      <c r="A45" s="6">
        <v>41023</v>
      </c>
      <c r="B45" s="7">
        <v>45539</v>
      </c>
      <c r="C45" s="6" t="s">
        <v>27</v>
      </c>
      <c r="D45" s="6">
        <v>8</v>
      </c>
      <c r="E45" s="6" t="s">
        <v>30</v>
      </c>
      <c r="F45" s="6">
        <v>71004</v>
      </c>
      <c r="G45" s="6">
        <v>0</v>
      </c>
      <c r="H45" s="6">
        <v>372</v>
      </c>
      <c r="I45" s="6">
        <v>0</v>
      </c>
      <c r="J45" s="6" t="s">
        <v>37</v>
      </c>
      <c r="K45" s="6" t="s">
        <v>47</v>
      </c>
      <c r="L45" s="6">
        <v>146</v>
      </c>
      <c r="M45" s="6">
        <v>159</v>
      </c>
      <c r="N45" s="7">
        <v>45539</v>
      </c>
      <c r="O45" s="7">
        <f t="shared" si="0"/>
        <v>45539</v>
      </c>
      <c r="P45" s="7">
        <f t="shared" si="3"/>
        <v>45552</v>
      </c>
      <c r="Q45" s="7">
        <f t="shared" si="1"/>
        <v>45685</v>
      </c>
      <c r="R45" s="7">
        <f t="shared" si="2"/>
        <v>45698</v>
      </c>
      <c r="S45" t="s">
        <v>28</v>
      </c>
      <c r="T45">
        <v>1</v>
      </c>
      <c r="U45">
        <v>37</v>
      </c>
      <c r="W45">
        <v>161</v>
      </c>
      <c r="X45">
        <v>78</v>
      </c>
      <c r="Y45">
        <v>30.1</v>
      </c>
      <c r="Z45" t="b">
        <v>0</v>
      </c>
      <c r="AA45">
        <v>0</v>
      </c>
      <c r="AB45">
        <v>0</v>
      </c>
      <c r="AC45">
        <v>14.3</v>
      </c>
      <c r="AD45">
        <v>0.76</v>
      </c>
      <c r="AE45">
        <v>8.34</v>
      </c>
      <c r="AF45">
        <v>244</v>
      </c>
      <c r="AG45">
        <v>4.4000000000000004</v>
      </c>
      <c r="AJ45">
        <v>9</v>
      </c>
      <c r="AK45" t="s">
        <v>30</v>
      </c>
      <c r="AL45">
        <v>71004</v>
      </c>
    </row>
    <row r="46" spans="1:38" x14ac:dyDescent="0.25">
      <c r="A46" s="6">
        <v>11007</v>
      </c>
      <c r="B46" s="7">
        <v>45679</v>
      </c>
      <c r="C46" s="6" t="s">
        <v>27</v>
      </c>
      <c r="D46" s="6">
        <v>8</v>
      </c>
      <c r="E46" s="6" t="s">
        <v>30</v>
      </c>
      <c r="F46" s="6">
        <v>71004</v>
      </c>
      <c r="G46" s="6">
        <v>0</v>
      </c>
      <c r="H46" s="6">
        <v>231</v>
      </c>
      <c r="I46" s="6">
        <v>0</v>
      </c>
      <c r="J46" s="6" t="s">
        <v>37</v>
      </c>
      <c r="K46" s="6" t="s">
        <v>47</v>
      </c>
      <c r="L46" s="6">
        <v>146</v>
      </c>
      <c r="M46" s="6">
        <v>159</v>
      </c>
      <c r="N46" s="7">
        <v>45680</v>
      </c>
      <c r="O46" s="7">
        <f t="shared" si="0"/>
        <v>45680</v>
      </c>
      <c r="P46" s="7">
        <f t="shared" si="3"/>
        <v>45693</v>
      </c>
      <c r="Q46" s="7">
        <f t="shared" si="1"/>
        <v>45826</v>
      </c>
      <c r="R46" s="7">
        <f t="shared" si="2"/>
        <v>45839</v>
      </c>
      <c r="S46" t="s">
        <v>28</v>
      </c>
      <c r="T46">
        <v>1</v>
      </c>
      <c r="U46">
        <v>53</v>
      </c>
      <c r="V46">
        <v>1</v>
      </c>
      <c r="W46">
        <v>154</v>
      </c>
      <c r="X46">
        <v>70</v>
      </c>
      <c r="Y46">
        <v>29.5</v>
      </c>
      <c r="Z46" t="b">
        <v>1</v>
      </c>
      <c r="AA46">
        <v>1</v>
      </c>
      <c r="AB46">
        <v>0</v>
      </c>
      <c r="AC46">
        <v>13.2</v>
      </c>
      <c r="AD46">
        <v>3.54</v>
      </c>
      <c r="AE46">
        <v>3.68</v>
      </c>
      <c r="AF46">
        <v>376</v>
      </c>
      <c r="AG46">
        <v>4.4400000000000004</v>
      </c>
      <c r="AJ46">
        <v>9</v>
      </c>
      <c r="AK46" t="s">
        <v>30</v>
      </c>
      <c r="AL46">
        <v>71004</v>
      </c>
    </row>
    <row r="47" spans="1:38" x14ac:dyDescent="0.25">
      <c r="A47" s="6">
        <v>91013</v>
      </c>
      <c r="B47" s="7">
        <v>45596</v>
      </c>
      <c r="C47" s="6" t="s">
        <v>27</v>
      </c>
      <c r="D47" s="6">
        <v>8</v>
      </c>
      <c r="E47" s="6" t="s">
        <v>30</v>
      </c>
      <c r="F47" s="6">
        <v>71004</v>
      </c>
      <c r="G47" s="6">
        <v>0</v>
      </c>
      <c r="H47" s="6">
        <v>315</v>
      </c>
      <c r="I47" s="6">
        <v>0</v>
      </c>
      <c r="J47" s="6" t="s">
        <v>37</v>
      </c>
      <c r="K47" s="6" t="s">
        <v>47</v>
      </c>
      <c r="L47" s="6">
        <v>146</v>
      </c>
      <c r="M47" s="6">
        <v>159</v>
      </c>
      <c r="N47" s="7">
        <v>45596</v>
      </c>
      <c r="O47" s="7">
        <f t="shared" si="0"/>
        <v>45596</v>
      </c>
      <c r="P47" s="7">
        <f t="shared" si="3"/>
        <v>45609</v>
      </c>
      <c r="Q47" s="7">
        <f t="shared" si="1"/>
        <v>45742</v>
      </c>
      <c r="R47" s="7">
        <f t="shared" si="2"/>
        <v>45755</v>
      </c>
      <c r="S47" t="s">
        <v>28</v>
      </c>
      <c r="T47">
        <v>1</v>
      </c>
      <c r="U47">
        <v>59</v>
      </c>
      <c r="V47">
        <v>1</v>
      </c>
      <c r="W47">
        <v>159</v>
      </c>
      <c r="X47">
        <v>67</v>
      </c>
      <c r="Y47">
        <v>26.5</v>
      </c>
      <c r="Z47" t="b">
        <v>1</v>
      </c>
      <c r="AA47">
        <v>1</v>
      </c>
      <c r="AB47">
        <v>0</v>
      </c>
      <c r="AC47">
        <v>11.8</v>
      </c>
      <c r="AD47">
        <v>2.86</v>
      </c>
      <c r="AE47">
        <v>3.96</v>
      </c>
      <c r="AF47">
        <v>279</v>
      </c>
      <c r="AJ47">
        <v>9</v>
      </c>
      <c r="AK47" t="s">
        <v>30</v>
      </c>
      <c r="AL47">
        <v>71004</v>
      </c>
    </row>
    <row r="48" spans="1:38" x14ac:dyDescent="0.25">
      <c r="A48" s="6">
        <v>51009</v>
      </c>
      <c r="B48" s="7">
        <v>45560</v>
      </c>
      <c r="C48" s="6" t="s">
        <v>27</v>
      </c>
      <c r="D48" s="6">
        <v>8</v>
      </c>
      <c r="E48" s="6" t="s">
        <v>30</v>
      </c>
      <c r="F48" s="6">
        <v>71004</v>
      </c>
      <c r="G48" s="6">
        <v>0</v>
      </c>
      <c r="H48" s="6">
        <v>350</v>
      </c>
      <c r="I48" s="6">
        <v>0</v>
      </c>
      <c r="J48" s="6" t="s">
        <v>37</v>
      </c>
      <c r="K48" s="6" t="s">
        <v>47</v>
      </c>
      <c r="L48" s="6">
        <v>146</v>
      </c>
      <c r="M48" s="6">
        <v>159</v>
      </c>
      <c r="N48" s="7">
        <v>45561</v>
      </c>
      <c r="O48" s="7">
        <f t="shared" si="0"/>
        <v>45561</v>
      </c>
      <c r="P48" s="7">
        <f t="shared" si="3"/>
        <v>45574</v>
      </c>
      <c r="Q48" s="7">
        <f t="shared" si="1"/>
        <v>45707</v>
      </c>
      <c r="R48" s="7">
        <f t="shared" si="2"/>
        <v>45720</v>
      </c>
      <c r="S48" t="s">
        <v>28</v>
      </c>
      <c r="T48">
        <v>1</v>
      </c>
      <c r="U48">
        <v>41</v>
      </c>
      <c r="V48">
        <v>1</v>
      </c>
      <c r="W48">
        <v>164</v>
      </c>
      <c r="X48">
        <v>55</v>
      </c>
      <c r="Y48">
        <v>20.399999999999999</v>
      </c>
      <c r="Z48" t="b">
        <v>0</v>
      </c>
      <c r="AA48">
        <v>0</v>
      </c>
      <c r="AC48">
        <v>13.1</v>
      </c>
      <c r="AD48">
        <v>0.99</v>
      </c>
      <c r="AE48">
        <v>3.32</v>
      </c>
      <c r="AF48">
        <v>278</v>
      </c>
      <c r="AG48">
        <v>48</v>
      </c>
      <c r="AJ48">
        <v>9</v>
      </c>
      <c r="AK48" t="s">
        <v>30</v>
      </c>
      <c r="AL48">
        <v>71004</v>
      </c>
    </row>
    <row r="49" spans="1:38" x14ac:dyDescent="0.25">
      <c r="A49" s="6">
        <v>41008</v>
      </c>
      <c r="B49" s="7">
        <v>45232</v>
      </c>
      <c r="C49" s="6" t="s">
        <v>27</v>
      </c>
      <c r="D49" s="6">
        <v>8</v>
      </c>
      <c r="E49" s="6" t="s">
        <v>30</v>
      </c>
      <c r="F49" s="6">
        <v>71004</v>
      </c>
      <c r="G49" s="6">
        <v>1</v>
      </c>
      <c r="H49" s="6">
        <v>297</v>
      </c>
      <c r="I49" s="6">
        <v>0</v>
      </c>
      <c r="J49" s="6" t="s">
        <v>37</v>
      </c>
      <c r="K49" s="6" t="s">
        <v>47</v>
      </c>
      <c r="L49" s="6">
        <v>146</v>
      </c>
      <c r="M49" s="6">
        <v>159</v>
      </c>
      <c r="N49" s="7">
        <v>45245</v>
      </c>
      <c r="O49" s="7">
        <f t="shared" si="0"/>
        <v>45245</v>
      </c>
      <c r="P49" s="7">
        <f t="shared" si="3"/>
        <v>45258</v>
      </c>
      <c r="Q49" s="7">
        <f t="shared" si="1"/>
        <v>45391</v>
      </c>
      <c r="R49" s="7">
        <f t="shared" si="2"/>
        <v>45404</v>
      </c>
      <c r="S49" t="s">
        <v>28</v>
      </c>
      <c r="T49">
        <v>1</v>
      </c>
      <c r="U49">
        <v>64</v>
      </c>
      <c r="W49">
        <v>162</v>
      </c>
      <c r="X49">
        <v>66</v>
      </c>
      <c r="Y49">
        <v>25.1</v>
      </c>
      <c r="Z49" t="b">
        <v>1</v>
      </c>
      <c r="AA49">
        <v>1</v>
      </c>
      <c r="AB49">
        <v>1</v>
      </c>
      <c r="AC49">
        <v>105</v>
      </c>
      <c r="AD49">
        <v>1.76</v>
      </c>
      <c r="AE49">
        <v>6.96</v>
      </c>
      <c r="AF49">
        <v>483</v>
      </c>
      <c r="AG49">
        <v>35</v>
      </c>
      <c r="AH49">
        <v>7</v>
      </c>
      <c r="AJ49">
        <v>9</v>
      </c>
      <c r="AK49" t="s">
        <v>30</v>
      </c>
      <c r="AL49">
        <v>71004</v>
      </c>
    </row>
    <row r="50" spans="1:38" s="2" customFormat="1" x14ac:dyDescent="0.25">
      <c r="A50" s="2">
        <v>81008</v>
      </c>
      <c r="B50" s="3">
        <v>45544</v>
      </c>
      <c r="C50" s="2" t="s">
        <v>27</v>
      </c>
      <c r="D50" s="2">
        <v>9</v>
      </c>
      <c r="E50" s="2" t="s">
        <v>29</v>
      </c>
      <c r="F50" s="2">
        <v>81008</v>
      </c>
      <c r="G50" s="2">
        <v>1</v>
      </c>
      <c r="H50" s="2">
        <v>152</v>
      </c>
      <c r="I50" s="2">
        <v>1</v>
      </c>
      <c r="J50" s="2" t="s">
        <v>37</v>
      </c>
      <c r="K50" t="s">
        <v>48</v>
      </c>
      <c r="L50" s="2">
        <v>139</v>
      </c>
      <c r="M50" s="2">
        <v>152</v>
      </c>
      <c r="N50" s="3">
        <v>45564</v>
      </c>
      <c r="O50" s="3">
        <f t="shared" si="0"/>
        <v>45564</v>
      </c>
      <c r="P50" s="3">
        <f t="shared" si="3"/>
        <v>45577</v>
      </c>
      <c r="Q50" s="3">
        <f t="shared" si="1"/>
        <v>45703</v>
      </c>
      <c r="R50" s="3">
        <f t="shared" si="2"/>
        <v>45716</v>
      </c>
      <c r="S50" s="2" t="s">
        <v>28</v>
      </c>
      <c r="T50" s="2">
        <v>1</v>
      </c>
      <c r="U50" s="2">
        <v>72</v>
      </c>
      <c r="V50" s="2">
        <v>1</v>
      </c>
      <c r="W50" s="2">
        <v>150</v>
      </c>
      <c r="X50" s="2">
        <v>62</v>
      </c>
      <c r="Y50" s="2">
        <v>27.6</v>
      </c>
      <c r="Z50" s="2" t="b">
        <v>1</v>
      </c>
      <c r="AA50" s="2">
        <v>1</v>
      </c>
      <c r="AB50" s="2">
        <v>0</v>
      </c>
      <c r="AC50" s="2">
        <v>12.9</v>
      </c>
      <c r="AD50" s="2">
        <v>1.39</v>
      </c>
      <c r="AE50" s="2">
        <v>3.73</v>
      </c>
      <c r="AF50" s="2">
        <v>233</v>
      </c>
      <c r="AJ50" s="2">
        <v>10</v>
      </c>
      <c r="AK50" s="2" t="s">
        <v>29</v>
      </c>
      <c r="AL50" s="2">
        <v>81008</v>
      </c>
    </row>
    <row r="51" spans="1:38" x14ac:dyDescent="0.25">
      <c r="A51" s="6">
        <v>71003</v>
      </c>
      <c r="B51" s="7">
        <v>45407</v>
      </c>
      <c r="C51" s="6" t="s">
        <v>27</v>
      </c>
      <c r="D51" s="6">
        <v>9</v>
      </c>
      <c r="E51" s="6" t="s">
        <v>30</v>
      </c>
      <c r="F51" s="6">
        <v>81008</v>
      </c>
      <c r="G51" s="6">
        <v>0</v>
      </c>
      <c r="H51" s="6">
        <v>504</v>
      </c>
      <c r="I51" s="6">
        <v>0</v>
      </c>
      <c r="J51" s="6" t="s">
        <v>37</v>
      </c>
      <c r="K51" s="6" t="s">
        <v>48</v>
      </c>
      <c r="L51" s="6">
        <v>139</v>
      </c>
      <c r="M51" s="6">
        <v>152</v>
      </c>
      <c r="N51" s="7">
        <v>45407</v>
      </c>
      <c r="O51" s="7">
        <f t="shared" si="0"/>
        <v>45407</v>
      </c>
      <c r="P51" s="7">
        <f t="shared" si="3"/>
        <v>45420</v>
      </c>
      <c r="Q51" s="7">
        <f t="shared" si="1"/>
        <v>45546</v>
      </c>
      <c r="R51" s="7">
        <f t="shared" si="2"/>
        <v>45559</v>
      </c>
      <c r="S51" t="s">
        <v>28</v>
      </c>
      <c r="T51">
        <v>1</v>
      </c>
      <c r="U51">
        <v>48</v>
      </c>
      <c r="V51">
        <v>1</v>
      </c>
      <c r="W51">
        <v>172</v>
      </c>
      <c r="X51">
        <v>63</v>
      </c>
      <c r="Y51">
        <v>21.3</v>
      </c>
      <c r="Z51" t="b">
        <v>1</v>
      </c>
      <c r="AA51">
        <v>1</v>
      </c>
      <c r="AB51">
        <v>0</v>
      </c>
      <c r="AC51">
        <v>13.4</v>
      </c>
      <c r="AD51">
        <v>2.38</v>
      </c>
      <c r="AE51">
        <v>3.43</v>
      </c>
      <c r="AF51">
        <v>208</v>
      </c>
      <c r="AJ51">
        <v>10</v>
      </c>
      <c r="AK51" t="s">
        <v>30</v>
      </c>
      <c r="AL51">
        <v>81008</v>
      </c>
    </row>
    <row r="52" spans="1:38" x14ac:dyDescent="0.25">
      <c r="A52" s="6">
        <v>81004</v>
      </c>
      <c r="B52" s="7">
        <v>45272</v>
      </c>
      <c r="C52" s="6" t="s">
        <v>27</v>
      </c>
      <c r="D52" s="6">
        <v>9</v>
      </c>
      <c r="E52" s="6" t="s">
        <v>30</v>
      </c>
      <c r="F52" s="6">
        <v>81008</v>
      </c>
      <c r="G52" s="6">
        <v>1</v>
      </c>
      <c r="H52" s="6">
        <v>352</v>
      </c>
      <c r="I52" s="6">
        <v>0</v>
      </c>
      <c r="J52" s="6" t="s">
        <v>37</v>
      </c>
      <c r="K52" s="6" t="s">
        <v>48</v>
      </c>
      <c r="L52" s="6">
        <v>139</v>
      </c>
      <c r="M52" s="6">
        <v>152</v>
      </c>
      <c r="N52" s="7">
        <v>45272</v>
      </c>
      <c r="O52" s="7">
        <f t="shared" si="0"/>
        <v>45272</v>
      </c>
      <c r="P52" s="7">
        <f t="shared" si="3"/>
        <v>45285</v>
      </c>
      <c r="Q52" s="7">
        <f t="shared" si="1"/>
        <v>45411</v>
      </c>
      <c r="R52" s="7">
        <f t="shared" si="2"/>
        <v>45424</v>
      </c>
      <c r="S52" t="s">
        <v>28</v>
      </c>
      <c r="T52">
        <v>1</v>
      </c>
      <c r="U52">
        <v>58</v>
      </c>
      <c r="V52">
        <v>1</v>
      </c>
      <c r="W52">
        <v>160</v>
      </c>
      <c r="X52">
        <v>47</v>
      </c>
      <c r="Y52">
        <v>18.399999999999999</v>
      </c>
      <c r="Z52" t="b">
        <v>1</v>
      </c>
      <c r="AA52">
        <v>1</v>
      </c>
      <c r="AB52">
        <v>0</v>
      </c>
      <c r="AC52">
        <v>12.5</v>
      </c>
      <c r="AD52">
        <v>1.84</v>
      </c>
      <c r="AE52">
        <v>4.5599999999999996</v>
      </c>
      <c r="AF52">
        <v>215</v>
      </c>
      <c r="AG52">
        <v>4.3</v>
      </c>
      <c r="AJ52">
        <v>10</v>
      </c>
      <c r="AK52" t="s">
        <v>30</v>
      </c>
      <c r="AL52">
        <v>81008</v>
      </c>
    </row>
    <row r="53" spans="1:38" x14ac:dyDescent="0.25">
      <c r="A53" s="6">
        <v>41011</v>
      </c>
      <c r="B53" s="7">
        <v>45359</v>
      </c>
      <c r="C53" s="6" t="s">
        <v>27</v>
      </c>
      <c r="D53" s="6">
        <v>9</v>
      </c>
      <c r="E53" s="6" t="s">
        <v>30</v>
      </c>
      <c r="F53" s="6">
        <v>81008</v>
      </c>
      <c r="G53" s="6">
        <v>0</v>
      </c>
      <c r="H53" s="6">
        <v>552</v>
      </c>
      <c r="I53" s="6">
        <v>0</v>
      </c>
      <c r="J53" s="6" t="s">
        <v>37</v>
      </c>
      <c r="K53" s="6" t="s">
        <v>48</v>
      </c>
      <c r="L53" s="6">
        <v>139</v>
      </c>
      <c r="M53" s="6">
        <v>152</v>
      </c>
      <c r="N53" s="7">
        <v>45359</v>
      </c>
      <c r="O53" s="7">
        <f t="shared" si="0"/>
        <v>45359</v>
      </c>
      <c r="P53" s="7">
        <f t="shared" si="3"/>
        <v>45372</v>
      </c>
      <c r="Q53" s="7">
        <f t="shared" si="1"/>
        <v>45498</v>
      </c>
      <c r="R53" s="7">
        <f t="shared" si="2"/>
        <v>45511</v>
      </c>
      <c r="S53" t="s">
        <v>28</v>
      </c>
      <c r="T53">
        <v>1</v>
      </c>
      <c r="U53">
        <v>42</v>
      </c>
      <c r="W53">
        <v>163</v>
      </c>
      <c r="X53">
        <v>68</v>
      </c>
      <c r="Y53">
        <v>25.6</v>
      </c>
      <c r="Z53" t="b">
        <v>0</v>
      </c>
      <c r="AA53">
        <v>0</v>
      </c>
      <c r="AB53">
        <v>1</v>
      </c>
      <c r="AC53">
        <v>13.8</v>
      </c>
      <c r="AD53">
        <v>2.83</v>
      </c>
      <c r="AE53">
        <v>4.07</v>
      </c>
      <c r="AF53">
        <v>265</v>
      </c>
      <c r="AG53">
        <v>4</v>
      </c>
      <c r="AJ53">
        <v>10</v>
      </c>
      <c r="AK53" t="s">
        <v>30</v>
      </c>
      <c r="AL53">
        <v>81008</v>
      </c>
    </row>
    <row r="54" spans="1:38" x14ac:dyDescent="0.25">
      <c r="A54" s="6">
        <v>61003</v>
      </c>
      <c r="B54" s="7">
        <v>45238</v>
      </c>
      <c r="C54" s="6" t="s">
        <v>27</v>
      </c>
      <c r="D54" s="6">
        <v>9</v>
      </c>
      <c r="E54" s="6" t="s">
        <v>30</v>
      </c>
      <c r="F54" s="6">
        <v>81008</v>
      </c>
      <c r="G54" s="6">
        <v>0</v>
      </c>
      <c r="H54" s="6">
        <v>673</v>
      </c>
      <c r="I54" s="6">
        <v>0</v>
      </c>
      <c r="J54" s="6" t="s">
        <v>37</v>
      </c>
      <c r="K54" s="6" t="s">
        <v>48</v>
      </c>
      <c r="L54" s="6">
        <v>139</v>
      </c>
      <c r="M54" s="6">
        <v>152</v>
      </c>
      <c r="N54" s="7">
        <v>45238</v>
      </c>
      <c r="O54" s="7">
        <f t="shared" si="0"/>
        <v>45238</v>
      </c>
      <c r="P54" s="7">
        <f t="shared" si="3"/>
        <v>45251</v>
      </c>
      <c r="Q54" s="7">
        <f t="shared" si="1"/>
        <v>45377</v>
      </c>
      <c r="R54" s="7">
        <f t="shared" si="2"/>
        <v>45390</v>
      </c>
      <c r="S54" t="s">
        <v>28</v>
      </c>
      <c r="T54">
        <v>1</v>
      </c>
      <c r="U54">
        <v>52</v>
      </c>
      <c r="V54">
        <v>1</v>
      </c>
      <c r="W54">
        <v>168</v>
      </c>
      <c r="X54">
        <v>90</v>
      </c>
      <c r="Y54">
        <v>31.9</v>
      </c>
      <c r="Z54" t="b">
        <v>0</v>
      </c>
      <c r="AA54">
        <v>0</v>
      </c>
      <c r="AB54">
        <v>1</v>
      </c>
      <c r="AC54">
        <v>14.3</v>
      </c>
      <c r="AD54">
        <v>2</v>
      </c>
      <c r="AE54">
        <v>6.4</v>
      </c>
      <c r="AF54">
        <v>375</v>
      </c>
      <c r="AH54">
        <v>669</v>
      </c>
      <c r="AJ54">
        <v>10</v>
      </c>
      <c r="AK54" t="s">
        <v>30</v>
      </c>
      <c r="AL54">
        <v>81008</v>
      </c>
    </row>
    <row r="55" spans="1:38" x14ac:dyDescent="0.25">
      <c r="A55" s="6">
        <v>51007</v>
      </c>
      <c r="B55" s="7">
        <v>45464</v>
      </c>
      <c r="C55" s="6" t="s">
        <v>27</v>
      </c>
      <c r="D55" s="6">
        <v>9</v>
      </c>
      <c r="E55" s="6" t="s">
        <v>30</v>
      </c>
      <c r="F55" s="6">
        <v>81008</v>
      </c>
      <c r="G55" s="6">
        <v>0</v>
      </c>
      <c r="H55" s="6">
        <v>446</v>
      </c>
      <c r="I55" s="6">
        <v>0</v>
      </c>
      <c r="J55" s="6" t="s">
        <v>37</v>
      </c>
      <c r="K55" s="6" t="s">
        <v>48</v>
      </c>
      <c r="L55" s="6">
        <v>139</v>
      </c>
      <c r="M55" s="6">
        <v>152</v>
      </c>
      <c r="N55" s="7">
        <v>45465</v>
      </c>
      <c r="O55" s="7">
        <f t="shared" si="0"/>
        <v>45465</v>
      </c>
      <c r="P55" s="7">
        <f t="shared" si="3"/>
        <v>45478</v>
      </c>
      <c r="Q55" s="7">
        <f t="shared" si="1"/>
        <v>45604</v>
      </c>
      <c r="R55" s="7">
        <f t="shared" si="2"/>
        <v>45617</v>
      </c>
      <c r="S55" t="s">
        <v>28</v>
      </c>
      <c r="T55">
        <v>1</v>
      </c>
      <c r="U55">
        <v>76</v>
      </c>
      <c r="V55">
        <v>1</v>
      </c>
      <c r="W55">
        <v>150</v>
      </c>
      <c r="X55">
        <v>50</v>
      </c>
      <c r="Y55">
        <v>22.2</v>
      </c>
      <c r="Z55" t="b">
        <v>1</v>
      </c>
      <c r="AA55">
        <v>1</v>
      </c>
      <c r="AB55">
        <v>0</v>
      </c>
      <c r="AC55">
        <v>13.7</v>
      </c>
      <c r="AD55">
        <v>1.41</v>
      </c>
      <c r="AE55">
        <v>4.4800000000000004</v>
      </c>
      <c r="AF55">
        <v>293</v>
      </c>
      <c r="AI55">
        <v>0.22</v>
      </c>
      <c r="AJ55">
        <v>10</v>
      </c>
      <c r="AK55" t="s">
        <v>30</v>
      </c>
      <c r="AL55">
        <v>81008</v>
      </c>
    </row>
    <row r="56" spans="1:38" s="2" customFormat="1" x14ac:dyDescent="0.25">
      <c r="A56" s="2">
        <v>81003</v>
      </c>
      <c r="B56" s="3">
        <v>45250</v>
      </c>
      <c r="C56" s="2" t="s">
        <v>27</v>
      </c>
      <c r="D56" s="2">
        <v>10</v>
      </c>
      <c r="E56" s="2" t="s">
        <v>29</v>
      </c>
      <c r="F56" s="2">
        <v>81003</v>
      </c>
      <c r="G56" s="2">
        <v>1</v>
      </c>
      <c r="H56" s="2">
        <v>174</v>
      </c>
      <c r="I56" s="2">
        <v>1</v>
      </c>
      <c r="J56" s="2" t="s">
        <v>37</v>
      </c>
      <c r="K56" t="s">
        <v>49</v>
      </c>
      <c r="L56" s="2">
        <v>161</v>
      </c>
      <c r="M56" s="2">
        <v>174</v>
      </c>
      <c r="N56" s="3">
        <v>45251</v>
      </c>
      <c r="O56" s="3">
        <f t="shared" si="0"/>
        <v>45251</v>
      </c>
      <c r="P56" s="3">
        <f t="shared" si="3"/>
        <v>45264</v>
      </c>
      <c r="Q56" s="3">
        <f t="shared" si="1"/>
        <v>45412</v>
      </c>
      <c r="R56" s="3">
        <f t="shared" si="2"/>
        <v>45425</v>
      </c>
      <c r="S56" s="2" t="s">
        <v>28</v>
      </c>
      <c r="T56" s="2">
        <v>1</v>
      </c>
      <c r="U56" s="2">
        <v>39</v>
      </c>
      <c r="V56" s="2">
        <v>1</v>
      </c>
      <c r="W56" s="2">
        <v>156</v>
      </c>
      <c r="X56" s="2">
        <v>78.400000000000006</v>
      </c>
      <c r="Y56" s="2">
        <v>32.200000000000003</v>
      </c>
      <c r="Z56" s="2" t="b">
        <v>0</v>
      </c>
      <c r="AA56" s="2">
        <v>0</v>
      </c>
      <c r="AB56" s="2">
        <v>0</v>
      </c>
      <c r="AC56" s="2">
        <v>13.4</v>
      </c>
      <c r="AD56" s="2">
        <v>1.78</v>
      </c>
      <c r="AE56" s="2">
        <v>3.54</v>
      </c>
      <c r="AF56" s="2">
        <v>269</v>
      </c>
      <c r="AG56" s="2">
        <v>4.4000000000000004</v>
      </c>
      <c r="AJ56" s="2">
        <v>11</v>
      </c>
      <c r="AK56" s="2" t="s">
        <v>29</v>
      </c>
      <c r="AL56" s="2">
        <v>81003</v>
      </c>
    </row>
    <row r="57" spans="1:38" x14ac:dyDescent="0.25">
      <c r="A57" s="6">
        <v>91012</v>
      </c>
      <c r="B57" s="7">
        <v>45580</v>
      </c>
      <c r="C57" s="6" t="s">
        <v>27</v>
      </c>
      <c r="D57" s="6">
        <v>10</v>
      </c>
      <c r="E57" s="6" t="s">
        <v>30</v>
      </c>
      <c r="F57" s="6">
        <v>81003</v>
      </c>
      <c r="G57" s="6">
        <v>0</v>
      </c>
      <c r="H57" s="6">
        <v>335</v>
      </c>
      <c r="I57" s="6">
        <v>0</v>
      </c>
      <c r="J57" s="6" t="s">
        <v>37</v>
      </c>
      <c r="K57" s="6" t="s">
        <v>49</v>
      </c>
      <c r="L57" s="6">
        <v>161</v>
      </c>
      <c r="M57" s="6">
        <v>174</v>
      </c>
      <c r="N57" s="7">
        <v>45576</v>
      </c>
      <c r="O57" s="7">
        <f t="shared" si="0"/>
        <v>45576</v>
      </c>
      <c r="P57" s="7">
        <f t="shared" si="3"/>
        <v>45589</v>
      </c>
      <c r="Q57" s="7">
        <f t="shared" si="1"/>
        <v>45737</v>
      </c>
      <c r="R57" s="7">
        <f t="shared" si="2"/>
        <v>45750</v>
      </c>
      <c r="S57" t="s">
        <v>28</v>
      </c>
      <c r="T57">
        <v>1</v>
      </c>
      <c r="U57">
        <v>54</v>
      </c>
      <c r="V57">
        <v>1</v>
      </c>
      <c r="W57">
        <v>160</v>
      </c>
      <c r="X57">
        <v>74.400000000000006</v>
      </c>
      <c r="Y57">
        <v>29.1</v>
      </c>
      <c r="Z57" t="b">
        <v>1</v>
      </c>
      <c r="AA57">
        <v>1</v>
      </c>
      <c r="AB57">
        <v>1</v>
      </c>
      <c r="AC57">
        <v>9.8000000000000007</v>
      </c>
      <c r="AD57">
        <v>1.79</v>
      </c>
      <c r="AE57">
        <v>6.4</v>
      </c>
      <c r="AF57">
        <v>437</v>
      </c>
      <c r="AG57">
        <v>4</v>
      </c>
      <c r="AJ57">
        <v>11</v>
      </c>
      <c r="AK57" t="s">
        <v>30</v>
      </c>
      <c r="AL57">
        <v>81003</v>
      </c>
    </row>
    <row r="58" spans="1:38" x14ac:dyDescent="0.25">
      <c r="A58" s="6">
        <v>61001</v>
      </c>
      <c r="B58" s="7">
        <v>45111</v>
      </c>
      <c r="C58" s="6" t="s">
        <v>27</v>
      </c>
      <c r="D58" s="6">
        <v>10</v>
      </c>
      <c r="E58" s="6" t="s">
        <v>30</v>
      </c>
      <c r="F58" s="6">
        <v>81003</v>
      </c>
      <c r="G58" s="6">
        <v>0</v>
      </c>
      <c r="H58" s="6">
        <v>799</v>
      </c>
      <c r="I58" s="6">
        <v>0</v>
      </c>
      <c r="J58" s="6" t="s">
        <v>37</v>
      </c>
      <c r="K58" s="6" t="s">
        <v>49</v>
      </c>
      <c r="L58" s="6">
        <v>161</v>
      </c>
      <c r="M58" s="6">
        <v>174</v>
      </c>
      <c r="N58" s="7">
        <v>45112</v>
      </c>
      <c r="O58" s="7">
        <f t="shared" si="0"/>
        <v>45112</v>
      </c>
      <c r="P58" s="7">
        <f t="shared" si="3"/>
        <v>45125</v>
      </c>
      <c r="Q58" s="7">
        <f t="shared" si="1"/>
        <v>45273</v>
      </c>
      <c r="R58" s="7">
        <f t="shared" si="2"/>
        <v>45286</v>
      </c>
      <c r="S58" t="s">
        <v>28</v>
      </c>
      <c r="T58">
        <v>1</v>
      </c>
      <c r="U58">
        <v>46</v>
      </c>
      <c r="V58">
        <v>1</v>
      </c>
      <c r="W58">
        <v>162</v>
      </c>
      <c r="X58">
        <v>65</v>
      </c>
      <c r="Y58">
        <v>24.8</v>
      </c>
      <c r="Z58" t="b">
        <v>0</v>
      </c>
      <c r="AA58">
        <v>0</v>
      </c>
      <c r="AB58">
        <v>1</v>
      </c>
      <c r="AC58">
        <v>12.8</v>
      </c>
      <c r="AD58">
        <v>1.7</v>
      </c>
      <c r="AE58">
        <v>3.1</v>
      </c>
      <c r="AF58">
        <v>251</v>
      </c>
      <c r="AH58">
        <v>423</v>
      </c>
      <c r="AJ58">
        <v>11</v>
      </c>
      <c r="AK58" t="s">
        <v>30</v>
      </c>
      <c r="AL58">
        <v>81003</v>
      </c>
    </row>
    <row r="59" spans="1:38" x14ac:dyDescent="0.25">
      <c r="A59" s="6">
        <v>21002</v>
      </c>
      <c r="B59" s="7">
        <v>45071</v>
      </c>
      <c r="C59" s="6" t="s">
        <v>27</v>
      </c>
      <c r="D59" s="6">
        <v>10</v>
      </c>
      <c r="E59" s="6" t="s">
        <v>30</v>
      </c>
      <c r="F59" s="6">
        <v>81003</v>
      </c>
      <c r="G59" s="6">
        <v>1</v>
      </c>
      <c r="H59" s="6">
        <v>316</v>
      </c>
      <c r="I59" s="6">
        <v>0</v>
      </c>
      <c r="J59" s="6" t="s">
        <v>37</v>
      </c>
      <c r="K59" s="6" t="s">
        <v>49</v>
      </c>
      <c r="L59" s="6">
        <v>161</v>
      </c>
      <c r="M59" s="6">
        <v>174</v>
      </c>
      <c r="N59" s="7">
        <v>45075</v>
      </c>
      <c r="O59" s="7">
        <f t="shared" si="0"/>
        <v>45075</v>
      </c>
      <c r="P59" s="7">
        <f t="shared" si="3"/>
        <v>45088</v>
      </c>
      <c r="Q59" s="7">
        <f t="shared" si="1"/>
        <v>45236</v>
      </c>
      <c r="R59" s="7">
        <f t="shared" si="2"/>
        <v>45249</v>
      </c>
      <c r="S59" t="s">
        <v>28</v>
      </c>
      <c r="T59">
        <v>1</v>
      </c>
      <c r="U59">
        <v>56</v>
      </c>
      <c r="V59">
        <v>1</v>
      </c>
      <c r="W59">
        <v>160</v>
      </c>
      <c r="X59">
        <v>84</v>
      </c>
      <c r="Y59">
        <v>32.799999999999997</v>
      </c>
      <c r="Z59" t="b">
        <v>1</v>
      </c>
      <c r="AA59">
        <v>1</v>
      </c>
      <c r="AB59">
        <v>0</v>
      </c>
      <c r="AC59">
        <v>13.4</v>
      </c>
      <c r="AD59">
        <v>2.37</v>
      </c>
      <c r="AE59">
        <v>3.91</v>
      </c>
      <c r="AF59">
        <v>180</v>
      </c>
      <c r="AJ59">
        <v>11</v>
      </c>
      <c r="AK59" t="s">
        <v>30</v>
      </c>
      <c r="AL59">
        <v>81003</v>
      </c>
    </row>
    <row r="60" spans="1:38" x14ac:dyDescent="0.25">
      <c r="A60" s="6">
        <v>51014</v>
      </c>
      <c r="B60" s="7">
        <v>45709</v>
      </c>
      <c r="C60" s="6" t="s">
        <v>27</v>
      </c>
      <c r="D60" s="6">
        <v>10</v>
      </c>
      <c r="E60" s="6" t="s">
        <v>30</v>
      </c>
      <c r="F60" s="6">
        <v>81003</v>
      </c>
      <c r="G60" s="6">
        <v>0</v>
      </c>
      <c r="H60" s="6">
        <v>202</v>
      </c>
      <c r="I60" s="6">
        <v>0</v>
      </c>
      <c r="J60" s="6" t="s">
        <v>37</v>
      </c>
      <c r="K60" s="6" t="s">
        <v>49</v>
      </c>
      <c r="L60" s="6">
        <v>161</v>
      </c>
      <c r="M60" s="6">
        <v>174</v>
      </c>
      <c r="N60" s="7">
        <v>45709</v>
      </c>
      <c r="O60" s="7">
        <f t="shared" si="0"/>
        <v>45709</v>
      </c>
      <c r="P60" s="7">
        <f t="shared" si="3"/>
        <v>45722</v>
      </c>
      <c r="Q60" s="7">
        <f t="shared" si="1"/>
        <v>45870</v>
      </c>
      <c r="R60" s="7">
        <f t="shared" si="2"/>
        <v>45883</v>
      </c>
      <c r="S60" t="s">
        <v>28</v>
      </c>
      <c r="T60">
        <v>1</v>
      </c>
      <c r="U60">
        <v>71</v>
      </c>
      <c r="V60">
        <v>1</v>
      </c>
      <c r="W60">
        <v>162</v>
      </c>
      <c r="X60">
        <v>80</v>
      </c>
      <c r="Y60">
        <v>30.5</v>
      </c>
      <c r="Z60" t="b">
        <v>1</v>
      </c>
      <c r="AA60">
        <v>1</v>
      </c>
      <c r="AB60">
        <v>1</v>
      </c>
      <c r="AC60">
        <v>14.5</v>
      </c>
      <c r="AD60">
        <v>1.38</v>
      </c>
      <c r="AE60">
        <v>3.42</v>
      </c>
      <c r="AF60">
        <v>308</v>
      </c>
      <c r="AG60">
        <v>46.6</v>
      </c>
      <c r="AJ60">
        <v>11</v>
      </c>
      <c r="AK60" t="s">
        <v>30</v>
      </c>
      <c r="AL60">
        <v>81003</v>
      </c>
    </row>
    <row r="61" spans="1:38" x14ac:dyDescent="0.25">
      <c r="A61" s="6">
        <v>21001</v>
      </c>
      <c r="B61" s="7">
        <v>44973</v>
      </c>
      <c r="C61" s="6" t="s">
        <v>27</v>
      </c>
      <c r="D61" s="6">
        <v>10</v>
      </c>
      <c r="E61" s="6" t="s">
        <v>30</v>
      </c>
      <c r="F61" s="6">
        <v>81003</v>
      </c>
      <c r="G61" s="6">
        <v>0</v>
      </c>
      <c r="H61" s="6">
        <v>939</v>
      </c>
      <c r="I61" s="6">
        <v>0</v>
      </c>
      <c r="J61" s="6" t="s">
        <v>37</v>
      </c>
      <c r="K61" s="6" t="s">
        <v>49</v>
      </c>
      <c r="L61" s="6">
        <v>161</v>
      </c>
      <c r="M61" s="6">
        <v>174</v>
      </c>
      <c r="N61" s="7">
        <v>44972</v>
      </c>
      <c r="O61" s="7">
        <f t="shared" si="0"/>
        <v>44972</v>
      </c>
      <c r="P61" s="7">
        <f t="shared" si="3"/>
        <v>44985</v>
      </c>
      <c r="Q61" s="7">
        <f t="shared" si="1"/>
        <v>45133</v>
      </c>
      <c r="R61" s="7">
        <f t="shared" si="2"/>
        <v>45146</v>
      </c>
      <c r="S61" t="s">
        <v>28</v>
      </c>
      <c r="T61">
        <v>1</v>
      </c>
      <c r="U61">
        <v>76</v>
      </c>
      <c r="V61">
        <v>1</v>
      </c>
      <c r="W61">
        <v>160</v>
      </c>
      <c r="X61">
        <v>73</v>
      </c>
      <c r="Y61">
        <v>28.5</v>
      </c>
      <c r="Z61" t="b">
        <v>1</v>
      </c>
      <c r="AA61">
        <v>1</v>
      </c>
      <c r="AB61">
        <v>0</v>
      </c>
      <c r="AC61">
        <v>12.8</v>
      </c>
      <c r="AD61">
        <v>0.88</v>
      </c>
      <c r="AE61">
        <v>1.68</v>
      </c>
      <c r="AF61">
        <v>166</v>
      </c>
      <c r="AG61">
        <v>4.4000000000000004</v>
      </c>
      <c r="AH61">
        <v>403</v>
      </c>
      <c r="AI61">
        <v>0.18</v>
      </c>
      <c r="AJ61">
        <v>11</v>
      </c>
      <c r="AK61" t="s">
        <v>30</v>
      </c>
      <c r="AL61">
        <v>81003</v>
      </c>
    </row>
    <row r="62" spans="1:38" s="2" customFormat="1" x14ac:dyDescent="0.25">
      <c r="A62" s="2">
        <v>92002</v>
      </c>
      <c r="B62" s="3">
        <v>45541</v>
      </c>
      <c r="C62" s="2" t="s">
        <v>27</v>
      </c>
      <c r="D62" s="2">
        <v>11</v>
      </c>
      <c r="E62" s="2" t="s">
        <v>29</v>
      </c>
      <c r="F62" s="2">
        <v>92002</v>
      </c>
      <c r="G62" s="2">
        <v>1</v>
      </c>
      <c r="H62" s="2">
        <v>20</v>
      </c>
      <c r="I62" s="2">
        <v>1</v>
      </c>
      <c r="J62" s="2" t="s">
        <v>37</v>
      </c>
      <c r="K62" t="s">
        <v>50</v>
      </c>
      <c r="L62" s="2">
        <v>7</v>
      </c>
      <c r="M62" s="2">
        <v>20</v>
      </c>
      <c r="N62" s="3">
        <v>45546</v>
      </c>
      <c r="O62" s="3">
        <f t="shared" si="0"/>
        <v>45546</v>
      </c>
      <c r="P62" s="3">
        <f t="shared" si="3"/>
        <v>45559</v>
      </c>
      <c r="Q62" s="3">
        <f t="shared" si="1"/>
        <v>45553</v>
      </c>
      <c r="R62" s="3">
        <f t="shared" si="2"/>
        <v>45566</v>
      </c>
      <c r="S62" s="2" t="s">
        <v>32</v>
      </c>
      <c r="T62" s="2">
        <v>2</v>
      </c>
      <c r="U62" s="2">
        <v>59</v>
      </c>
      <c r="V62" s="2">
        <v>1</v>
      </c>
      <c r="W62" s="2">
        <v>1.67</v>
      </c>
      <c r="X62" s="2">
        <v>59.8</v>
      </c>
      <c r="Y62" s="2">
        <v>214421.5</v>
      </c>
      <c r="Z62" s="2" t="b">
        <v>1</v>
      </c>
      <c r="AA62" s="2">
        <v>1</v>
      </c>
      <c r="AB62" s="2">
        <v>1</v>
      </c>
      <c r="AC62" s="2">
        <v>11.9</v>
      </c>
      <c r="AD62" s="2">
        <v>2.5499999999999998</v>
      </c>
      <c r="AE62" s="2">
        <v>7.96</v>
      </c>
      <c r="AF62" s="2">
        <v>323</v>
      </c>
      <c r="AG62" s="2">
        <v>3.4</v>
      </c>
      <c r="AI62" s="2">
        <v>0.56999999999999995</v>
      </c>
      <c r="AJ62" s="2">
        <v>12</v>
      </c>
      <c r="AK62" s="2" t="s">
        <v>29</v>
      </c>
      <c r="AL62" s="2">
        <v>92002</v>
      </c>
    </row>
    <row r="63" spans="1:38" x14ac:dyDescent="0.25">
      <c r="A63" s="6">
        <v>22001</v>
      </c>
      <c r="B63" s="7">
        <v>45119</v>
      </c>
      <c r="C63" s="6" t="s">
        <v>31</v>
      </c>
      <c r="D63" s="6">
        <v>11</v>
      </c>
      <c r="E63" s="6" t="s">
        <v>30</v>
      </c>
      <c r="F63" s="6">
        <v>92002</v>
      </c>
      <c r="G63" s="6">
        <v>1</v>
      </c>
      <c r="H63" s="6">
        <v>520</v>
      </c>
      <c r="I63" s="6">
        <v>0</v>
      </c>
      <c r="J63" s="6" t="s">
        <v>37</v>
      </c>
      <c r="K63" s="6" t="s">
        <v>50</v>
      </c>
      <c r="L63" s="6">
        <v>7</v>
      </c>
      <c r="M63" s="6">
        <v>20</v>
      </c>
      <c r="N63" s="7">
        <v>45120</v>
      </c>
      <c r="O63" s="7">
        <f t="shared" si="0"/>
        <v>45120</v>
      </c>
      <c r="P63" s="7">
        <f t="shared" si="3"/>
        <v>45133</v>
      </c>
      <c r="Q63" s="7">
        <f t="shared" si="1"/>
        <v>45127</v>
      </c>
      <c r="R63" s="7">
        <f t="shared" si="2"/>
        <v>45140</v>
      </c>
      <c r="S63" t="s">
        <v>32</v>
      </c>
      <c r="T63">
        <v>2</v>
      </c>
      <c r="U63">
        <v>58</v>
      </c>
      <c r="V63">
        <v>2</v>
      </c>
      <c r="W63">
        <v>154</v>
      </c>
      <c r="X63">
        <v>72</v>
      </c>
      <c r="Y63">
        <v>30.4</v>
      </c>
      <c r="Z63" t="b">
        <v>1</v>
      </c>
      <c r="AA63">
        <v>1</v>
      </c>
      <c r="AB63">
        <v>0</v>
      </c>
      <c r="AC63">
        <v>13.1</v>
      </c>
      <c r="AD63">
        <v>2.1800000000000002</v>
      </c>
      <c r="AE63">
        <v>2.41</v>
      </c>
      <c r="AF63">
        <v>223</v>
      </c>
      <c r="AG63">
        <v>4.5999999999999996</v>
      </c>
      <c r="AJ63">
        <v>12</v>
      </c>
      <c r="AK63" t="s">
        <v>30</v>
      </c>
      <c r="AL63">
        <v>92002</v>
      </c>
    </row>
    <row r="64" spans="1:38" x14ac:dyDescent="0.25">
      <c r="A64" s="6">
        <v>62005</v>
      </c>
      <c r="B64" s="7">
        <v>45616</v>
      </c>
      <c r="C64" s="6" t="s">
        <v>27</v>
      </c>
      <c r="D64" s="6">
        <v>11</v>
      </c>
      <c r="E64" s="6" t="s">
        <v>30</v>
      </c>
      <c r="F64" s="6">
        <v>92002</v>
      </c>
      <c r="G64" s="6">
        <v>0</v>
      </c>
      <c r="H64" s="6">
        <v>289</v>
      </c>
      <c r="I64" s="6">
        <v>0</v>
      </c>
      <c r="J64" s="6" t="s">
        <v>37</v>
      </c>
      <c r="K64" s="6" t="s">
        <v>50</v>
      </c>
      <c r="L64" s="6">
        <v>7</v>
      </c>
      <c r="M64" s="6">
        <v>20</v>
      </c>
      <c r="N64" s="7">
        <v>45622</v>
      </c>
      <c r="O64" s="7">
        <f t="shared" si="0"/>
        <v>45622</v>
      </c>
      <c r="P64" s="7">
        <f t="shared" si="3"/>
        <v>45635</v>
      </c>
      <c r="Q64" s="7">
        <f t="shared" si="1"/>
        <v>45629</v>
      </c>
      <c r="R64" s="7">
        <f t="shared" si="2"/>
        <v>45642</v>
      </c>
      <c r="S64" t="s">
        <v>32</v>
      </c>
      <c r="T64">
        <v>2</v>
      </c>
      <c r="U64">
        <v>30</v>
      </c>
      <c r="V64">
        <v>1</v>
      </c>
      <c r="W64">
        <v>161</v>
      </c>
      <c r="X64">
        <v>53</v>
      </c>
      <c r="Y64">
        <v>20.399999999999999</v>
      </c>
      <c r="Z64" t="b">
        <v>0</v>
      </c>
      <c r="AA64">
        <v>0</v>
      </c>
      <c r="AB64">
        <v>0</v>
      </c>
      <c r="AC64">
        <v>10.9</v>
      </c>
      <c r="AD64">
        <v>1.1000000000000001</v>
      </c>
      <c r="AE64">
        <v>4.8</v>
      </c>
      <c r="AF64">
        <v>359</v>
      </c>
      <c r="AG64">
        <v>45</v>
      </c>
      <c r="AJ64">
        <v>12</v>
      </c>
      <c r="AK64" t="s">
        <v>30</v>
      </c>
      <c r="AL64">
        <v>92002</v>
      </c>
    </row>
    <row r="65" spans="1:38" x14ac:dyDescent="0.25">
      <c r="A65" s="6">
        <v>42001</v>
      </c>
      <c r="B65" s="7">
        <v>45132</v>
      </c>
      <c r="C65" s="6" t="s">
        <v>27</v>
      </c>
      <c r="D65" s="6">
        <v>11</v>
      </c>
      <c r="E65" s="6" t="s">
        <v>30</v>
      </c>
      <c r="F65" s="6">
        <v>92002</v>
      </c>
      <c r="G65" s="6">
        <v>1</v>
      </c>
      <c r="H65" s="6">
        <v>415</v>
      </c>
      <c r="I65" s="6">
        <v>0</v>
      </c>
      <c r="J65" s="6" t="s">
        <v>37</v>
      </c>
      <c r="K65" s="6" t="s">
        <v>50</v>
      </c>
      <c r="L65" s="6">
        <v>7</v>
      </c>
      <c r="M65" s="6">
        <v>20</v>
      </c>
      <c r="N65" s="7">
        <v>45132</v>
      </c>
      <c r="O65" s="7">
        <f t="shared" si="0"/>
        <v>45132</v>
      </c>
      <c r="P65" s="7">
        <f t="shared" si="3"/>
        <v>45145</v>
      </c>
      <c r="Q65" s="7">
        <f t="shared" si="1"/>
        <v>45139</v>
      </c>
      <c r="R65" s="7">
        <f t="shared" si="2"/>
        <v>45152</v>
      </c>
      <c r="S65" t="s">
        <v>32</v>
      </c>
      <c r="T65">
        <v>2</v>
      </c>
      <c r="U65">
        <v>49</v>
      </c>
      <c r="W65">
        <v>168</v>
      </c>
      <c r="X65">
        <v>58.6</v>
      </c>
      <c r="Y65">
        <v>20.8</v>
      </c>
      <c r="Z65" t="b">
        <v>0</v>
      </c>
      <c r="AA65">
        <v>0</v>
      </c>
      <c r="AB65">
        <v>0</v>
      </c>
      <c r="AC65">
        <v>12.6</v>
      </c>
      <c r="AD65">
        <v>2.04</v>
      </c>
      <c r="AE65">
        <v>6.71</v>
      </c>
      <c r="AF65">
        <v>434</v>
      </c>
      <c r="AG65">
        <v>4</v>
      </c>
      <c r="AJ65">
        <v>12</v>
      </c>
      <c r="AK65" t="s">
        <v>30</v>
      </c>
      <c r="AL65">
        <v>92002</v>
      </c>
    </row>
    <row r="66" spans="1:38" x14ac:dyDescent="0.25">
      <c r="A66" s="6">
        <v>12005</v>
      </c>
      <c r="B66" s="7">
        <v>45748</v>
      </c>
      <c r="C66" s="6" t="s">
        <v>27</v>
      </c>
      <c r="D66" s="6">
        <v>11</v>
      </c>
      <c r="E66" s="6" t="s">
        <v>30</v>
      </c>
      <c r="F66" s="6">
        <v>92002</v>
      </c>
      <c r="G66" s="6">
        <v>0</v>
      </c>
      <c r="H66" s="6">
        <v>163</v>
      </c>
      <c r="I66" s="6">
        <v>0</v>
      </c>
      <c r="J66" s="6" t="s">
        <v>37</v>
      </c>
      <c r="K66" s="6" t="s">
        <v>50</v>
      </c>
      <c r="L66" s="6">
        <v>7</v>
      </c>
      <c r="M66" s="6">
        <v>20</v>
      </c>
      <c r="N66" s="7">
        <v>45748</v>
      </c>
      <c r="O66" s="7">
        <f t="shared" si="0"/>
        <v>45748</v>
      </c>
      <c r="P66" s="7">
        <f t="shared" si="3"/>
        <v>45761</v>
      </c>
      <c r="Q66" s="7">
        <f t="shared" si="1"/>
        <v>45755</v>
      </c>
      <c r="R66" s="7">
        <f t="shared" si="2"/>
        <v>45768</v>
      </c>
      <c r="S66" t="s">
        <v>32</v>
      </c>
      <c r="T66">
        <v>2</v>
      </c>
      <c r="U66">
        <v>53</v>
      </c>
      <c r="V66">
        <v>1</v>
      </c>
      <c r="W66">
        <v>155</v>
      </c>
      <c r="X66">
        <v>68</v>
      </c>
      <c r="Y66">
        <v>28.3</v>
      </c>
      <c r="Z66" t="b">
        <v>0</v>
      </c>
      <c r="AA66">
        <v>0</v>
      </c>
      <c r="AB66">
        <v>0</v>
      </c>
      <c r="AC66">
        <v>13.8</v>
      </c>
      <c r="AD66">
        <v>1.0900000000000001</v>
      </c>
      <c r="AE66">
        <v>3.06</v>
      </c>
      <c r="AF66">
        <v>367</v>
      </c>
      <c r="AG66">
        <v>4.4400000000000004</v>
      </c>
      <c r="AJ66">
        <v>12</v>
      </c>
      <c r="AK66" t="s">
        <v>30</v>
      </c>
      <c r="AL66">
        <v>92002</v>
      </c>
    </row>
    <row r="67" spans="1:38" x14ac:dyDescent="0.25">
      <c r="A67" s="6">
        <v>62003</v>
      </c>
      <c r="B67" s="7">
        <v>45307</v>
      </c>
      <c r="C67" s="6" t="s">
        <v>27</v>
      </c>
      <c r="D67" s="6">
        <v>11</v>
      </c>
      <c r="E67" s="6" t="s">
        <v>30</v>
      </c>
      <c r="F67" s="6">
        <v>92002</v>
      </c>
      <c r="G67" s="6">
        <v>0</v>
      </c>
      <c r="H67" s="6">
        <v>604</v>
      </c>
      <c r="I67" s="6">
        <v>0</v>
      </c>
      <c r="J67" s="6" t="s">
        <v>37</v>
      </c>
      <c r="K67" s="6" t="s">
        <v>50</v>
      </c>
      <c r="L67" s="6">
        <v>7</v>
      </c>
      <c r="M67" s="6">
        <v>20</v>
      </c>
      <c r="N67" s="7">
        <v>45307</v>
      </c>
      <c r="O67" s="7">
        <f t="shared" ref="O67:O130" si="4">N67</f>
        <v>45307</v>
      </c>
      <c r="P67" s="7">
        <f t="shared" si="3"/>
        <v>45320</v>
      </c>
      <c r="Q67" s="7">
        <f t="shared" ref="Q67:Q130" si="5">N67+L67</f>
        <v>45314</v>
      </c>
      <c r="R67" s="7">
        <f t="shared" ref="R67:R130" si="6">N67+M67</f>
        <v>45327</v>
      </c>
      <c r="S67" t="s">
        <v>32</v>
      </c>
      <c r="T67">
        <v>2</v>
      </c>
      <c r="U67">
        <v>59</v>
      </c>
      <c r="V67">
        <v>1</v>
      </c>
      <c r="W67">
        <v>154</v>
      </c>
      <c r="X67">
        <v>61</v>
      </c>
      <c r="Y67">
        <v>25.7</v>
      </c>
      <c r="Z67" t="b">
        <v>1</v>
      </c>
      <c r="AA67">
        <v>1</v>
      </c>
      <c r="AB67">
        <v>0</v>
      </c>
      <c r="AC67">
        <v>12.3</v>
      </c>
      <c r="AD67">
        <v>2.5</v>
      </c>
      <c r="AE67">
        <v>3.9</v>
      </c>
      <c r="AF67">
        <v>293</v>
      </c>
      <c r="AG67">
        <v>44</v>
      </c>
      <c r="AJ67">
        <v>12</v>
      </c>
      <c r="AK67" t="s">
        <v>30</v>
      </c>
      <c r="AL67">
        <v>92002</v>
      </c>
    </row>
    <row r="68" spans="1:38" s="2" customFormat="1" x14ac:dyDescent="0.25">
      <c r="A68" s="2">
        <v>52004</v>
      </c>
      <c r="B68" s="3">
        <v>45791</v>
      </c>
      <c r="C68" s="2" t="s">
        <v>27</v>
      </c>
      <c r="D68" s="2">
        <v>12</v>
      </c>
      <c r="E68" s="2" t="s">
        <v>29</v>
      </c>
      <c r="F68" s="2">
        <v>52004</v>
      </c>
      <c r="G68" s="2">
        <v>1</v>
      </c>
      <c r="H68" s="2">
        <v>15</v>
      </c>
      <c r="I68" s="2">
        <v>1</v>
      </c>
      <c r="J68" s="2" t="s">
        <v>37</v>
      </c>
      <c r="K68" t="s">
        <v>51</v>
      </c>
      <c r="L68" s="2">
        <v>2</v>
      </c>
      <c r="M68" s="2">
        <v>15</v>
      </c>
      <c r="N68" s="3">
        <v>45806</v>
      </c>
      <c r="O68" s="3">
        <f t="shared" si="4"/>
        <v>45806</v>
      </c>
      <c r="P68" s="3">
        <f t="shared" ref="P68:P131" si="7">O68+13</f>
        <v>45819</v>
      </c>
      <c r="Q68" s="3">
        <f t="shared" si="5"/>
        <v>45808</v>
      </c>
      <c r="R68" s="3">
        <f t="shared" si="6"/>
        <v>45821</v>
      </c>
      <c r="S68" s="2" t="s">
        <v>32</v>
      </c>
      <c r="T68" s="2">
        <v>2</v>
      </c>
      <c r="U68" s="2">
        <v>67</v>
      </c>
      <c r="V68" s="2">
        <v>1</v>
      </c>
      <c r="W68" s="2">
        <v>165</v>
      </c>
      <c r="X68" s="2">
        <v>100</v>
      </c>
      <c r="Y68" s="2">
        <v>36.700000000000003</v>
      </c>
      <c r="Z68" s="2" t="b">
        <v>0</v>
      </c>
      <c r="AA68" s="2">
        <v>0</v>
      </c>
      <c r="AC68" s="2">
        <v>12.1</v>
      </c>
      <c r="AD68" s="2">
        <v>1.9</v>
      </c>
      <c r="AE68" s="2">
        <v>7.08</v>
      </c>
      <c r="AF68" s="2">
        <v>329</v>
      </c>
      <c r="AG68" s="2">
        <v>39.799999999999997</v>
      </c>
      <c r="AJ68" s="2">
        <v>13</v>
      </c>
      <c r="AK68" s="2" t="s">
        <v>29</v>
      </c>
      <c r="AL68" s="2">
        <v>52004</v>
      </c>
    </row>
    <row r="69" spans="1:38" x14ac:dyDescent="0.25">
      <c r="A69" s="6">
        <v>12006</v>
      </c>
      <c r="B69" s="7">
        <v>45756</v>
      </c>
      <c r="C69" s="6" t="s">
        <v>27</v>
      </c>
      <c r="D69" s="6">
        <v>12</v>
      </c>
      <c r="E69" s="6" t="s">
        <v>30</v>
      </c>
      <c r="F69" s="6">
        <v>52004</v>
      </c>
      <c r="G69" s="6">
        <v>0</v>
      </c>
      <c r="H69" s="6">
        <v>150</v>
      </c>
      <c r="I69" s="6">
        <v>0</v>
      </c>
      <c r="J69" s="6" t="s">
        <v>37</v>
      </c>
      <c r="K69" s="6" t="s">
        <v>51</v>
      </c>
      <c r="L69" s="6">
        <v>2</v>
      </c>
      <c r="M69" s="6">
        <v>15</v>
      </c>
      <c r="N69" s="7">
        <v>45761</v>
      </c>
      <c r="O69" s="7">
        <f t="shared" si="4"/>
        <v>45761</v>
      </c>
      <c r="P69" s="7">
        <f t="shared" si="7"/>
        <v>45774</v>
      </c>
      <c r="Q69" s="7">
        <f t="shared" si="5"/>
        <v>45763</v>
      </c>
      <c r="R69" s="7">
        <f t="shared" si="6"/>
        <v>45776</v>
      </c>
      <c r="S69" t="s">
        <v>32</v>
      </c>
      <c r="T69">
        <v>2</v>
      </c>
      <c r="U69">
        <v>62</v>
      </c>
      <c r="V69">
        <v>1</v>
      </c>
      <c r="W69">
        <v>147</v>
      </c>
      <c r="X69">
        <v>80.599999999999994</v>
      </c>
      <c r="Y69">
        <v>37.299999999999997</v>
      </c>
      <c r="Z69" t="b">
        <v>1</v>
      </c>
      <c r="AA69">
        <v>1</v>
      </c>
      <c r="AB69">
        <v>0</v>
      </c>
      <c r="AC69">
        <v>10.3</v>
      </c>
      <c r="AD69">
        <v>1.69</v>
      </c>
      <c r="AE69">
        <v>3.18</v>
      </c>
      <c r="AF69">
        <v>226</v>
      </c>
      <c r="AG69">
        <v>3.96</v>
      </c>
      <c r="AJ69">
        <v>13</v>
      </c>
      <c r="AK69" t="s">
        <v>30</v>
      </c>
      <c r="AL69">
        <v>52004</v>
      </c>
    </row>
    <row r="70" spans="1:38" x14ac:dyDescent="0.25">
      <c r="A70" s="6">
        <v>52003</v>
      </c>
      <c r="B70" s="7">
        <v>45772</v>
      </c>
      <c r="C70" s="6" t="s">
        <v>27</v>
      </c>
      <c r="D70" s="6">
        <v>12</v>
      </c>
      <c r="E70" s="6" t="s">
        <v>30</v>
      </c>
      <c r="F70" s="6">
        <v>52004</v>
      </c>
      <c r="G70" s="6">
        <v>0</v>
      </c>
      <c r="H70" s="6">
        <v>138</v>
      </c>
      <c r="I70" s="6">
        <v>0</v>
      </c>
      <c r="J70" s="6" t="s">
        <v>37</v>
      </c>
      <c r="K70" s="6" t="s">
        <v>51</v>
      </c>
      <c r="L70" s="6">
        <v>2</v>
      </c>
      <c r="M70" s="6">
        <v>15</v>
      </c>
      <c r="N70" s="7">
        <v>45773</v>
      </c>
      <c r="O70" s="7">
        <f t="shared" si="4"/>
        <v>45773</v>
      </c>
      <c r="P70" s="7">
        <f t="shared" si="7"/>
        <v>45786</v>
      </c>
      <c r="Q70" s="7">
        <f t="shared" si="5"/>
        <v>45775</v>
      </c>
      <c r="R70" s="7">
        <f t="shared" si="6"/>
        <v>45788</v>
      </c>
      <c r="S70" t="s">
        <v>32</v>
      </c>
      <c r="T70">
        <v>2</v>
      </c>
      <c r="U70">
        <v>46</v>
      </c>
      <c r="V70">
        <v>1</v>
      </c>
      <c r="W70">
        <v>160</v>
      </c>
      <c r="X70">
        <v>60</v>
      </c>
      <c r="Y70">
        <v>23.4</v>
      </c>
      <c r="Z70" t="b">
        <v>0</v>
      </c>
      <c r="AA70">
        <v>0</v>
      </c>
      <c r="AB70">
        <v>0</v>
      </c>
      <c r="AC70">
        <v>11.1</v>
      </c>
      <c r="AD70">
        <v>1.51</v>
      </c>
      <c r="AE70">
        <v>3.68</v>
      </c>
      <c r="AF70">
        <v>332</v>
      </c>
      <c r="AG70">
        <v>44</v>
      </c>
      <c r="AJ70">
        <v>13</v>
      </c>
      <c r="AK70" t="s">
        <v>30</v>
      </c>
      <c r="AL70">
        <v>52004</v>
      </c>
    </row>
    <row r="71" spans="1:38" x14ac:dyDescent="0.25">
      <c r="A71" s="6">
        <v>72001</v>
      </c>
      <c r="B71" s="7">
        <v>45611</v>
      </c>
      <c r="C71" s="6" t="s">
        <v>27</v>
      </c>
      <c r="D71" s="6">
        <v>12</v>
      </c>
      <c r="E71" s="6" t="s">
        <v>30</v>
      </c>
      <c r="F71" s="6">
        <v>52004</v>
      </c>
      <c r="G71" s="6">
        <v>1</v>
      </c>
      <c r="H71" s="6">
        <v>217</v>
      </c>
      <c r="I71" s="6">
        <v>0</v>
      </c>
      <c r="J71" s="6" t="s">
        <v>37</v>
      </c>
      <c r="K71" s="6" t="s">
        <v>51</v>
      </c>
      <c r="L71" s="6">
        <v>2</v>
      </c>
      <c r="M71" s="6">
        <v>15</v>
      </c>
      <c r="N71" s="7">
        <v>45625</v>
      </c>
      <c r="O71" s="7">
        <f t="shared" si="4"/>
        <v>45625</v>
      </c>
      <c r="P71" s="7">
        <f t="shared" si="7"/>
        <v>45638</v>
      </c>
      <c r="Q71" s="7">
        <f t="shared" si="5"/>
        <v>45627</v>
      </c>
      <c r="R71" s="7">
        <f t="shared" si="6"/>
        <v>45640</v>
      </c>
      <c r="S71" t="s">
        <v>32</v>
      </c>
      <c r="T71">
        <v>2</v>
      </c>
      <c r="U71">
        <v>71</v>
      </c>
      <c r="V71">
        <v>1</v>
      </c>
      <c r="W71">
        <v>162</v>
      </c>
      <c r="X71">
        <v>68</v>
      </c>
      <c r="Y71">
        <v>25.9</v>
      </c>
      <c r="Z71" t="b">
        <v>1</v>
      </c>
      <c r="AA71">
        <v>1</v>
      </c>
      <c r="AB71">
        <v>0</v>
      </c>
      <c r="AC71">
        <v>10.4</v>
      </c>
      <c r="AD71">
        <v>1.1499999999999999</v>
      </c>
      <c r="AE71">
        <v>4.79</v>
      </c>
      <c r="AF71">
        <v>457</v>
      </c>
      <c r="AI71">
        <v>23.2</v>
      </c>
      <c r="AJ71">
        <v>13</v>
      </c>
      <c r="AK71" t="s">
        <v>30</v>
      </c>
      <c r="AL71">
        <v>52004</v>
      </c>
    </row>
    <row r="72" spans="1:38" x14ac:dyDescent="0.25">
      <c r="A72" s="6">
        <v>52005</v>
      </c>
      <c r="B72" s="7">
        <v>45806</v>
      </c>
      <c r="C72" s="6" t="s">
        <v>31</v>
      </c>
      <c r="D72" s="6">
        <v>12</v>
      </c>
      <c r="E72" s="6" t="s">
        <v>30</v>
      </c>
      <c r="F72" s="6">
        <v>52004</v>
      </c>
      <c r="G72" s="6">
        <v>0</v>
      </c>
      <c r="H72" s="6">
        <v>105</v>
      </c>
      <c r="I72" s="6">
        <v>0</v>
      </c>
      <c r="J72" s="6" t="s">
        <v>37</v>
      </c>
      <c r="K72" s="6" t="s">
        <v>51</v>
      </c>
      <c r="L72" s="6">
        <v>2</v>
      </c>
      <c r="M72" s="6">
        <v>15</v>
      </c>
      <c r="N72" s="7">
        <v>45810</v>
      </c>
      <c r="O72" s="7">
        <f t="shared" si="4"/>
        <v>45810</v>
      </c>
      <c r="P72" s="7">
        <f t="shared" si="7"/>
        <v>45823</v>
      </c>
      <c r="Q72" s="7">
        <f t="shared" si="5"/>
        <v>45812</v>
      </c>
      <c r="R72" s="7">
        <f t="shared" si="6"/>
        <v>45825</v>
      </c>
      <c r="S72" t="s">
        <v>32</v>
      </c>
      <c r="T72">
        <v>2</v>
      </c>
      <c r="U72">
        <v>70</v>
      </c>
      <c r="V72">
        <v>1</v>
      </c>
      <c r="W72">
        <v>162</v>
      </c>
      <c r="X72">
        <v>69</v>
      </c>
      <c r="Y72">
        <v>26.3</v>
      </c>
      <c r="Z72" t="b">
        <v>0</v>
      </c>
      <c r="AA72">
        <v>0</v>
      </c>
      <c r="AB72">
        <v>0</v>
      </c>
      <c r="AC72">
        <v>13.6</v>
      </c>
      <c r="AD72">
        <v>1.53</v>
      </c>
      <c r="AE72">
        <v>3.36</v>
      </c>
      <c r="AF72">
        <v>195</v>
      </c>
      <c r="AJ72">
        <v>13</v>
      </c>
      <c r="AK72" t="s">
        <v>30</v>
      </c>
      <c r="AL72">
        <v>52004</v>
      </c>
    </row>
    <row r="73" spans="1:38" x14ac:dyDescent="0.25">
      <c r="A73" s="6">
        <v>12007</v>
      </c>
      <c r="B73" s="7">
        <v>45827</v>
      </c>
      <c r="C73" s="6" t="s">
        <v>27</v>
      </c>
      <c r="D73" s="6">
        <v>12</v>
      </c>
      <c r="E73" s="6" t="s">
        <v>30</v>
      </c>
      <c r="F73" s="6">
        <v>52004</v>
      </c>
      <c r="G73" s="6">
        <v>0</v>
      </c>
      <c r="H73" s="6">
        <v>84</v>
      </c>
      <c r="I73" s="6">
        <v>0</v>
      </c>
      <c r="J73" s="6" t="s">
        <v>37</v>
      </c>
      <c r="K73" s="6" t="s">
        <v>51</v>
      </c>
      <c r="L73" s="6">
        <v>2</v>
      </c>
      <c r="M73" s="6">
        <v>15</v>
      </c>
      <c r="N73" s="7">
        <v>45827</v>
      </c>
      <c r="O73" s="7">
        <f t="shared" si="4"/>
        <v>45827</v>
      </c>
      <c r="P73" s="7">
        <f t="shared" si="7"/>
        <v>45840</v>
      </c>
      <c r="Q73" s="7">
        <f t="shared" si="5"/>
        <v>45829</v>
      </c>
      <c r="R73" s="7">
        <f t="shared" si="6"/>
        <v>45842</v>
      </c>
      <c r="S73" t="s">
        <v>32</v>
      </c>
      <c r="T73">
        <v>2</v>
      </c>
      <c r="U73">
        <v>56</v>
      </c>
      <c r="V73">
        <v>1</v>
      </c>
      <c r="W73">
        <v>170</v>
      </c>
      <c r="X73">
        <v>88</v>
      </c>
      <c r="Y73">
        <v>30.4</v>
      </c>
      <c r="Z73" t="b">
        <v>1</v>
      </c>
      <c r="AA73">
        <v>1</v>
      </c>
      <c r="AB73">
        <v>0</v>
      </c>
      <c r="AC73">
        <v>12.9</v>
      </c>
      <c r="AD73">
        <v>2.4500000000000002</v>
      </c>
      <c r="AE73">
        <v>3.43</v>
      </c>
      <c r="AF73">
        <v>253</v>
      </c>
      <c r="AG73">
        <v>4.5199999999999996</v>
      </c>
      <c r="AH73">
        <v>417</v>
      </c>
      <c r="AJ73">
        <v>13</v>
      </c>
      <c r="AK73" t="s">
        <v>30</v>
      </c>
      <c r="AL73">
        <v>52004</v>
      </c>
    </row>
    <row r="74" spans="1:38" s="2" customFormat="1" x14ac:dyDescent="0.25">
      <c r="A74" s="2">
        <v>62001</v>
      </c>
      <c r="B74" s="3">
        <v>45125</v>
      </c>
      <c r="C74" s="2" t="s">
        <v>27</v>
      </c>
      <c r="D74" s="2">
        <v>13</v>
      </c>
      <c r="E74" s="2" t="s">
        <v>29</v>
      </c>
      <c r="F74" s="2">
        <v>62001</v>
      </c>
      <c r="G74" s="2">
        <v>1</v>
      </c>
      <c r="H74" s="2">
        <v>96</v>
      </c>
      <c r="I74" s="2">
        <v>1</v>
      </c>
      <c r="J74" s="2" t="s">
        <v>37</v>
      </c>
      <c r="K74" t="s">
        <v>52</v>
      </c>
      <c r="L74" s="2">
        <v>83</v>
      </c>
      <c r="M74" s="2">
        <v>96</v>
      </c>
      <c r="N74" s="3">
        <v>45133</v>
      </c>
      <c r="O74" s="3">
        <f t="shared" si="4"/>
        <v>45133</v>
      </c>
      <c r="P74" s="3">
        <f t="shared" si="7"/>
        <v>45146</v>
      </c>
      <c r="Q74" s="3">
        <f t="shared" si="5"/>
        <v>45216</v>
      </c>
      <c r="R74" s="3">
        <f t="shared" si="6"/>
        <v>45229</v>
      </c>
      <c r="S74" s="2" t="s">
        <v>32</v>
      </c>
      <c r="T74" s="2">
        <v>2</v>
      </c>
      <c r="U74" s="2">
        <v>56</v>
      </c>
      <c r="V74" s="2">
        <v>1</v>
      </c>
      <c r="W74" s="2">
        <v>159</v>
      </c>
      <c r="X74" s="2">
        <v>65</v>
      </c>
      <c r="Y74" s="2">
        <v>25.7</v>
      </c>
      <c r="Z74" s="2" t="b">
        <v>1</v>
      </c>
      <c r="AA74" s="2">
        <v>1</v>
      </c>
      <c r="AB74" s="2">
        <v>1</v>
      </c>
      <c r="AC74" s="2">
        <v>13.2</v>
      </c>
      <c r="AD74" s="2">
        <v>1.2</v>
      </c>
      <c r="AE74" s="2">
        <v>7.2</v>
      </c>
      <c r="AF74" s="2">
        <v>285</v>
      </c>
      <c r="AG74" s="2">
        <v>39</v>
      </c>
      <c r="AJ74" s="2">
        <v>14</v>
      </c>
      <c r="AK74" s="2" t="s">
        <v>29</v>
      </c>
      <c r="AL74" s="2">
        <v>62001</v>
      </c>
    </row>
    <row r="75" spans="1:38" x14ac:dyDescent="0.25">
      <c r="A75" s="6">
        <v>12003</v>
      </c>
      <c r="B75" s="7">
        <v>45602</v>
      </c>
      <c r="C75" s="6" t="s">
        <v>27</v>
      </c>
      <c r="D75" s="6">
        <v>13</v>
      </c>
      <c r="E75" s="6" t="s">
        <v>30</v>
      </c>
      <c r="F75" s="6">
        <v>62001</v>
      </c>
      <c r="G75" s="6">
        <v>0</v>
      </c>
      <c r="H75" s="6">
        <v>309</v>
      </c>
      <c r="I75" s="6">
        <v>0</v>
      </c>
      <c r="J75" s="6" t="s">
        <v>37</v>
      </c>
      <c r="K75" s="6" t="s">
        <v>52</v>
      </c>
      <c r="L75" s="6">
        <v>83</v>
      </c>
      <c r="M75" s="6">
        <v>96</v>
      </c>
      <c r="N75" s="7">
        <v>45602</v>
      </c>
      <c r="O75" s="7">
        <f t="shared" si="4"/>
        <v>45602</v>
      </c>
      <c r="P75" s="7">
        <f t="shared" si="7"/>
        <v>45615</v>
      </c>
      <c r="Q75" s="7">
        <f t="shared" si="5"/>
        <v>45685</v>
      </c>
      <c r="R75" s="7">
        <f t="shared" si="6"/>
        <v>45698</v>
      </c>
      <c r="S75" t="s">
        <v>32</v>
      </c>
      <c r="T75">
        <v>2</v>
      </c>
      <c r="U75">
        <v>56</v>
      </c>
      <c r="V75">
        <v>1</v>
      </c>
      <c r="W75">
        <v>158</v>
      </c>
      <c r="X75">
        <v>59</v>
      </c>
      <c r="Y75">
        <v>23.6</v>
      </c>
      <c r="Z75" t="b">
        <v>1</v>
      </c>
      <c r="AA75">
        <v>1</v>
      </c>
      <c r="AB75">
        <v>0</v>
      </c>
      <c r="AC75">
        <v>12.9</v>
      </c>
      <c r="AD75">
        <v>1.64</v>
      </c>
      <c r="AE75">
        <v>2.29</v>
      </c>
      <c r="AF75">
        <v>178</v>
      </c>
      <c r="AG75">
        <v>3.74</v>
      </c>
      <c r="AJ75">
        <v>14</v>
      </c>
      <c r="AK75" t="s">
        <v>30</v>
      </c>
      <c r="AL75">
        <v>62001</v>
      </c>
    </row>
    <row r="76" spans="1:38" x14ac:dyDescent="0.25">
      <c r="A76" s="6">
        <v>62002</v>
      </c>
      <c r="B76" s="7">
        <v>45246</v>
      </c>
      <c r="C76" s="6" t="s">
        <v>27</v>
      </c>
      <c r="D76" s="6">
        <v>13</v>
      </c>
      <c r="E76" s="6" t="s">
        <v>30</v>
      </c>
      <c r="F76" s="6">
        <v>62001</v>
      </c>
      <c r="G76" s="6">
        <v>1</v>
      </c>
      <c r="H76" s="6">
        <v>655</v>
      </c>
      <c r="I76" s="6">
        <v>0</v>
      </c>
      <c r="J76" s="6" t="s">
        <v>37</v>
      </c>
      <c r="K76" s="6" t="s">
        <v>52</v>
      </c>
      <c r="L76" s="6">
        <v>83</v>
      </c>
      <c r="M76" s="6">
        <v>96</v>
      </c>
      <c r="N76" s="7">
        <v>45250</v>
      </c>
      <c r="O76" s="7">
        <f t="shared" si="4"/>
        <v>45250</v>
      </c>
      <c r="P76" s="7">
        <f t="shared" si="7"/>
        <v>45263</v>
      </c>
      <c r="Q76" s="7">
        <f t="shared" si="5"/>
        <v>45333</v>
      </c>
      <c r="R76" s="7">
        <f t="shared" si="6"/>
        <v>45346</v>
      </c>
      <c r="S76" t="s">
        <v>32</v>
      </c>
      <c r="T76">
        <v>2</v>
      </c>
      <c r="U76">
        <v>77</v>
      </c>
      <c r="V76">
        <v>1</v>
      </c>
      <c r="W76">
        <v>167</v>
      </c>
      <c r="X76">
        <v>68</v>
      </c>
      <c r="Y76">
        <v>24.4</v>
      </c>
      <c r="Z76" t="b">
        <v>1</v>
      </c>
      <c r="AA76">
        <v>1</v>
      </c>
      <c r="AB76">
        <v>0</v>
      </c>
      <c r="AC76">
        <v>11.5</v>
      </c>
      <c r="AD76">
        <v>1.6</v>
      </c>
      <c r="AE76">
        <v>4.3</v>
      </c>
      <c r="AF76">
        <v>389</v>
      </c>
      <c r="AG76">
        <v>40</v>
      </c>
      <c r="AH76">
        <v>510</v>
      </c>
      <c r="AJ76">
        <v>14</v>
      </c>
      <c r="AK76" t="s">
        <v>30</v>
      </c>
      <c r="AL76">
        <v>62001</v>
      </c>
    </row>
    <row r="77" spans="1:38" x14ac:dyDescent="0.25">
      <c r="A77" s="6">
        <v>22002</v>
      </c>
      <c r="B77" s="7">
        <v>45678</v>
      </c>
      <c r="C77" s="6" t="s">
        <v>27</v>
      </c>
      <c r="D77" s="6">
        <v>13</v>
      </c>
      <c r="E77" s="6" t="s">
        <v>30</v>
      </c>
      <c r="F77" s="6">
        <v>62001</v>
      </c>
      <c r="G77" s="6">
        <v>0</v>
      </c>
      <c r="H77" s="6">
        <v>230</v>
      </c>
      <c r="I77" s="6">
        <v>0</v>
      </c>
      <c r="J77" s="6" t="s">
        <v>37</v>
      </c>
      <c r="K77" s="6" t="s">
        <v>52</v>
      </c>
      <c r="L77" s="6">
        <v>83</v>
      </c>
      <c r="M77" s="6">
        <v>96</v>
      </c>
      <c r="N77" s="7">
        <v>45681</v>
      </c>
      <c r="O77" s="7">
        <f t="shared" si="4"/>
        <v>45681</v>
      </c>
      <c r="P77" s="7">
        <f t="shared" si="7"/>
        <v>45694</v>
      </c>
      <c r="Q77" s="7">
        <f t="shared" si="5"/>
        <v>45764</v>
      </c>
      <c r="R77" s="7">
        <f t="shared" si="6"/>
        <v>45777</v>
      </c>
      <c r="S77" t="s">
        <v>32</v>
      </c>
      <c r="T77">
        <v>2</v>
      </c>
      <c r="U77">
        <v>65</v>
      </c>
      <c r="V77">
        <v>1</v>
      </c>
      <c r="W77">
        <v>1.55</v>
      </c>
      <c r="X77">
        <v>66</v>
      </c>
      <c r="Y77">
        <v>274713.8</v>
      </c>
      <c r="Z77" t="b">
        <v>1</v>
      </c>
      <c r="AA77">
        <v>1</v>
      </c>
      <c r="AC77">
        <v>16.2</v>
      </c>
      <c r="AD77">
        <v>3.84</v>
      </c>
      <c r="AE77">
        <v>5.51</v>
      </c>
      <c r="AF77">
        <v>295</v>
      </c>
      <c r="AH77">
        <v>415</v>
      </c>
      <c r="AI77">
        <v>0.1</v>
      </c>
      <c r="AJ77">
        <v>14</v>
      </c>
      <c r="AK77" t="s">
        <v>30</v>
      </c>
      <c r="AL77">
        <v>62001</v>
      </c>
    </row>
    <row r="78" spans="1:38" x14ac:dyDescent="0.25">
      <c r="A78" s="6">
        <v>92001</v>
      </c>
      <c r="B78" s="7">
        <v>45491</v>
      </c>
      <c r="C78" s="6" t="s">
        <v>27</v>
      </c>
      <c r="D78" s="6">
        <v>13</v>
      </c>
      <c r="E78" s="6" t="s">
        <v>30</v>
      </c>
      <c r="F78" s="6">
        <v>62001</v>
      </c>
      <c r="G78" s="6">
        <v>1</v>
      </c>
      <c r="H78" s="6">
        <v>448</v>
      </c>
      <c r="I78" s="6">
        <v>0</v>
      </c>
      <c r="J78" s="6" t="s">
        <v>37</v>
      </c>
      <c r="K78" s="6" t="s">
        <v>52</v>
      </c>
      <c r="L78" s="6">
        <v>83</v>
      </c>
      <c r="M78" s="6">
        <v>96</v>
      </c>
      <c r="N78" s="7">
        <v>45491</v>
      </c>
      <c r="O78" s="7">
        <f t="shared" si="4"/>
        <v>45491</v>
      </c>
      <c r="P78" s="7">
        <f t="shared" si="7"/>
        <v>45504</v>
      </c>
      <c r="Q78" s="7">
        <f t="shared" si="5"/>
        <v>45574</v>
      </c>
      <c r="R78" s="7">
        <f t="shared" si="6"/>
        <v>45587</v>
      </c>
      <c r="S78" t="s">
        <v>32</v>
      </c>
      <c r="T78">
        <v>2</v>
      </c>
      <c r="U78">
        <v>52</v>
      </c>
      <c r="V78">
        <v>1</v>
      </c>
      <c r="W78">
        <v>168</v>
      </c>
      <c r="X78">
        <v>85.1</v>
      </c>
      <c r="Y78">
        <v>30.2</v>
      </c>
      <c r="Z78" t="b">
        <v>0</v>
      </c>
      <c r="AA78">
        <v>0</v>
      </c>
      <c r="AB78">
        <v>0</v>
      </c>
      <c r="AC78">
        <v>11.9</v>
      </c>
      <c r="AD78">
        <v>2.2000000000000002</v>
      </c>
      <c r="AE78">
        <v>5.0999999999999996</v>
      </c>
      <c r="AF78">
        <v>431</v>
      </c>
      <c r="AG78">
        <v>4.2699999999999996</v>
      </c>
      <c r="AJ78">
        <v>14</v>
      </c>
      <c r="AK78" t="s">
        <v>30</v>
      </c>
      <c r="AL78">
        <v>62001</v>
      </c>
    </row>
    <row r="79" spans="1:38" x14ac:dyDescent="0.25">
      <c r="A79" s="6">
        <v>12001</v>
      </c>
      <c r="B79" s="7">
        <v>45097</v>
      </c>
      <c r="C79" s="6" t="s">
        <v>27</v>
      </c>
      <c r="D79" s="6">
        <v>13</v>
      </c>
      <c r="E79" s="6" t="s">
        <v>30</v>
      </c>
      <c r="F79" s="6">
        <v>62001</v>
      </c>
      <c r="G79" s="6">
        <v>1</v>
      </c>
      <c r="H79" s="6">
        <v>363</v>
      </c>
      <c r="I79" s="6">
        <v>0</v>
      </c>
      <c r="J79" s="6" t="s">
        <v>37</v>
      </c>
      <c r="K79" s="6" t="s">
        <v>52</v>
      </c>
      <c r="L79" s="6">
        <v>83</v>
      </c>
      <c r="M79" s="6">
        <v>96</v>
      </c>
      <c r="N79" s="7">
        <v>45104</v>
      </c>
      <c r="O79" s="7">
        <f t="shared" si="4"/>
        <v>45104</v>
      </c>
      <c r="P79" s="7">
        <f t="shared" si="7"/>
        <v>45117</v>
      </c>
      <c r="Q79" s="7">
        <f t="shared" si="5"/>
        <v>45187</v>
      </c>
      <c r="R79" s="7">
        <f t="shared" si="6"/>
        <v>45200</v>
      </c>
      <c r="S79" t="s">
        <v>32</v>
      </c>
      <c r="T79">
        <v>2</v>
      </c>
      <c r="U79">
        <v>65</v>
      </c>
      <c r="V79">
        <v>1</v>
      </c>
      <c r="W79">
        <v>160</v>
      </c>
      <c r="X79">
        <v>69</v>
      </c>
      <c r="Y79">
        <v>27</v>
      </c>
      <c r="Z79" t="b">
        <v>1</v>
      </c>
      <c r="AA79">
        <v>1</v>
      </c>
      <c r="AB79">
        <v>0</v>
      </c>
      <c r="AC79">
        <v>11.1</v>
      </c>
      <c r="AD79">
        <v>2.0699999999999998</v>
      </c>
      <c r="AE79">
        <v>3.38</v>
      </c>
      <c r="AF79">
        <v>292</v>
      </c>
      <c r="AG79">
        <v>3.95</v>
      </c>
      <c r="AJ79">
        <v>14</v>
      </c>
      <c r="AK79" t="s">
        <v>30</v>
      </c>
      <c r="AL79">
        <v>62001</v>
      </c>
    </row>
    <row r="80" spans="1:38" s="2" customFormat="1" x14ac:dyDescent="0.25">
      <c r="A80" s="2">
        <v>12002</v>
      </c>
      <c r="B80" s="3">
        <v>45440</v>
      </c>
      <c r="C80" s="2" t="s">
        <v>27</v>
      </c>
      <c r="D80" s="2">
        <v>14</v>
      </c>
      <c r="E80" s="2" t="s">
        <v>29</v>
      </c>
      <c r="F80" s="2">
        <v>12002</v>
      </c>
      <c r="G80" s="2">
        <v>1</v>
      </c>
      <c r="H80" s="2">
        <v>137</v>
      </c>
      <c r="I80" s="2">
        <v>1</v>
      </c>
      <c r="J80" s="2" t="s">
        <v>37</v>
      </c>
      <c r="K80" t="s">
        <v>53</v>
      </c>
      <c r="L80" s="2">
        <v>124</v>
      </c>
      <c r="M80" s="2">
        <v>137</v>
      </c>
      <c r="N80" s="3">
        <v>45441</v>
      </c>
      <c r="O80" s="3">
        <f t="shared" si="4"/>
        <v>45441</v>
      </c>
      <c r="P80" s="3">
        <f t="shared" si="7"/>
        <v>45454</v>
      </c>
      <c r="Q80" s="3">
        <f t="shared" si="5"/>
        <v>45565</v>
      </c>
      <c r="R80" s="3">
        <f t="shared" si="6"/>
        <v>45578</v>
      </c>
      <c r="S80" s="2" t="s">
        <v>32</v>
      </c>
      <c r="T80" s="2">
        <v>2</v>
      </c>
      <c r="U80" s="2">
        <v>45</v>
      </c>
      <c r="V80" s="2">
        <v>1</v>
      </c>
      <c r="W80" s="2">
        <v>157</v>
      </c>
      <c r="X80" s="2">
        <v>65</v>
      </c>
      <c r="Y80" s="2">
        <v>26.4</v>
      </c>
      <c r="Z80" s="2" t="b">
        <v>1</v>
      </c>
      <c r="AA80" s="2">
        <v>1</v>
      </c>
      <c r="AB80" s="2">
        <v>0</v>
      </c>
      <c r="AC80" s="2">
        <v>11.9</v>
      </c>
      <c r="AD80" s="2">
        <v>1.04</v>
      </c>
      <c r="AE80" s="2">
        <v>4.13</v>
      </c>
      <c r="AF80" s="2">
        <v>415</v>
      </c>
      <c r="AG80" s="2">
        <v>3.85</v>
      </c>
      <c r="AJ80" s="2">
        <v>15</v>
      </c>
      <c r="AK80" s="2" t="s">
        <v>29</v>
      </c>
      <c r="AL80" s="2">
        <v>12002</v>
      </c>
    </row>
    <row r="81" spans="1:38" x14ac:dyDescent="0.25">
      <c r="A81" s="6">
        <v>52001</v>
      </c>
      <c r="B81" s="7">
        <v>45642</v>
      </c>
      <c r="C81" s="6" t="s">
        <v>27</v>
      </c>
      <c r="D81" s="6">
        <v>14</v>
      </c>
      <c r="E81" s="6" t="s">
        <v>30</v>
      </c>
      <c r="F81" s="6">
        <v>12002</v>
      </c>
      <c r="G81" s="6">
        <v>1</v>
      </c>
      <c r="H81" s="6">
        <v>239</v>
      </c>
      <c r="I81" s="6">
        <v>0</v>
      </c>
      <c r="J81" s="6" t="s">
        <v>37</v>
      </c>
      <c r="K81" s="6" t="s">
        <v>53</v>
      </c>
      <c r="L81" s="6">
        <v>124</v>
      </c>
      <c r="M81" s="6">
        <v>137</v>
      </c>
      <c r="N81" s="7">
        <v>45642</v>
      </c>
      <c r="O81" s="7">
        <f t="shared" si="4"/>
        <v>45642</v>
      </c>
      <c r="P81" s="7">
        <f t="shared" si="7"/>
        <v>45655</v>
      </c>
      <c r="Q81" s="7">
        <f t="shared" si="5"/>
        <v>45766</v>
      </c>
      <c r="R81" s="7">
        <f t="shared" si="6"/>
        <v>45779</v>
      </c>
      <c r="S81" t="s">
        <v>32</v>
      </c>
      <c r="T81">
        <v>2</v>
      </c>
      <c r="U81">
        <v>57</v>
      </c>
      <c r="V81">
        <v>1</v>
      </c>
      <c r="W81">
        <v>169</v>
      </c>
      <c r="X81">
        <v>61</v>
      </c>
      <c r="Y81">
        <v>21.4</v>
      </c>
      <c r="Z81" t="b">
        <v>0</v>
      </c>
      <c r="AA81">
        <v>0</v>
      </c>
      <c r="AB81">
        <v>1</v>
      </c>
      <c r="AC81">
        <v>14.6</v>
      </c>
      <c r="AD81">
        <v>1.74</v>
      </c>
      <c r="AE81">
        <v>3.8</v>
      </c>
      <c r="AF81">
        <v>187</v>
      </c>
      <c r="AJ81">
        <v>15</v>
      </c>
      <c r="AK81" t="s">
        <v>30</v>
      </c>
      <c r="AL81">
        <v>12002</v>
      </c>
    </row>
    <row r="82" spans="1:38" x14ac:dyDescent="0.25">
      <c r="A82" s="6">
        <v>42003</v>
      </c>
      <c r="B82" s="7">
        <v>45688</v>
      </c>
      <c r="C82" s="6" t="s">
        <v>27</v>
      </c>
      <c r="D82" s="6">
        <v>14</v>
      </c>
      <c r="E82" s="6" t="s">
        <v>30</v>
      </c>
      <c r="F82" s="6">
        <v>12002</v>
      </c>
      <c r="G82" s="6">
        <v>0</v>
      </c>
      <c r="H82" s="6">
        <v>220</v>
      </c>
      <c r="I82" s="6">
        <v>0</v>
      </c>
      <c r="J82" s="6" t="s">
        <v>37</v>
      </c>
      <c r="K82" s="6" t="s">
        <v>53</v>
      </c>
      <c r="L82" s="6">
        <v>124</v>
      </c>
      <c r="M82" s="6">
        <v>137</v>
      </c>
      <c r="N82" s="7">
        <v>45691</v>
      </c>
      <c r="O82" s="7">
        <f t="shared" si="4"/>
        <v>45691</v>
      </c>
      <c r="P82" s="7">
        <f t="shared" si="7"/>
        <v>45704</v>
      </c>
      <c r="Q82" s="7">
        <f t="shared" si="5"/>
        <v>45815</v>
      </c>
      <c r="R82" s="7">
        <f t="shared" si="6"/>
        <v>45828</v>
      </c>
      <c r="S82" t="s">
        <v>32</v>
      </c>
      <c r="T82">
        <v>2</v>
      </c>
      <c r="U82">
        <v>49</v>
      </c>
      <c r="W82">
        <v>177</v>
      </c>
      <c r="X82">
        <v>50.8</v>
      </c>
      <c r="Y82">
        <v>16.2</v>
      </c>
      <c r="Z82" t="b">
        <v>1</v>
      </c>
      <c r="AA82">
        <v>1</v>
      </c>
      <c r="AB82">
        <v>0</v>
      </c>
      <c r="AC82">
        <v>12.3</v>
      </c>
      <c r="AD82">
        <v>2.73</v>
      </c>
      <c r="AE82">
        <v>11.33</v>
      </c>
      <c r="AF82">
        <v>251</v>
      </c>
      <c r="AI82">
        <v>0.09</v>
      </c>
      <c r="AJ82">
        <v>15</v>
      </c>
      <c r="AK82" t="s">
        <v>30</v>
      </c>
      <c r="AL82">
        <v>12002</v>
      </c>
    </row>
    <row r="83" spans="1:38" x14ac:dyDescent="0.25">
      <c r="A83" s="6">
        <v>62004</v>
      </c>
      <c r="B83" s="7">
        <v>45378</v>
      </c>
      <c r="C83" s="6" t="s">
        <v>27</v>
      </c>
      <c r="D83" s="6">
        <v>14</v>
      </c>
      <c r="E83" s="6" t="s">
        <v>30</v>
      </c>
      <c r="F83" s="6">
        <v>12002</v>
      </c>
      <c r="G83" s="6">
        <v>1</v>
      </c>
      <c r="H83" s="6">
        <v>317</v>
      </c>
      <c r="I83" s="6">
        <v>0</v>
      </c>
      <c r="J83" s="6" t="s">
        <v>37</v>
      </c>
      <c r="K83" s="6" t="s">
        <v>53</v>
      </c>
      <c r="L83" s="6">
        <v>124</v>
      </c>
      <c r="M83" s="6">
        <v>137</v>
      </c>
      <c r="N83" s="7">
        <v>45391</v>
      </c>
      <c r="O83" s="7">
        <f t="shared" si="4"/>
        <v>45391</v>
      </c>
      <c r="P83" s="7">
        <f t="shared" si="7"/>
        <v>45404</v>
      </c>
      <c r="Q83" s="7">
        <f t="shared" si="5"/>
        <v>45515</v>
      </c>
      <c r="R83" s="7">
        <f t="shared" si="6"/>
        <v>45528</v>
      </c>
      <c r="S83" t="s">
        <v>32</v>
      </c>
      <c r="T83">
        <v>2</v>
      </c>
      <c r="U83">
        <v>67</v>
      </c>
      <c r="V83">
        <v>1</v>
      </c>
      <c r="W83">
        <v>153</v>
      </c>
      <c r="X83">
        <v>59</v>
      </c>
      <c r="Y83">
        <v>25.2</v>
      </c>
      <c r="Z83" t="b">
        <v>1</v>
      </c>
      <c r="AA83">
        <v>1</v>
      </c>
      <c r="AB83">
        <v>1</v>
      </c>
      <c r="AC83">
        <v>12.9</v>
      </c>
      <c r="AD83">
        <v>2.1</v>
      </c>
      <c r="AE83">
        <v>4.7</v>
      </c>
      <c r="AF83">
        <v>332</v>
      </c>
      <c r="AG83">
        <v>43</v>
      </c>
      <c r="AJ83">
        <v>15</v>
      </c>
      <c r="AK83" t="s">
        <v>30</v>
      </c>
      <c r="AL83">
        <v>12002</v>
      </c>
    </row>
    <row r="84" spans="1:38" x14ac:dyDescent="0.25">
      <c r="A84" s="6">
        <v>22001</v>
      </c>
      <c r="B84" s="7">
        <v>45119</v>
      </c>
      <c r="C84" s="6" t="s">
        <v>31</v>
      </c>
      <c r="D84" s="6">
        <v>14</v>
      </c>
      <c r="E84" s="6" t="s">
        <v>30</v>
      </c>
      <c r="F84" s="6">
        <v>12002</v>
      </c>
      <c r="G84" s="6">
        <v>1</v>
      </c>
      <c r="H84" s="6">
        <v>520</v>
      </c>
      <c r="I84" s="6">
        <v>0</v>
      </c>
      <c r="J84" s="6" t="s">
        <v>37</v>
      </c>
      <c r="K84" s="6" t="s">
        <v>53</v>
      </c>
      <c r="L84" s="6">
        <v>124</v>
      </c>
      <c r="M84" s="6">
        <v>137</v>
      </c>
      <c r="N84" s="7">
        <v>45120</v>
      </c>
      <c r="O84" s="7">
        <f t="shared" si="4"/>
        <v>45120</v>
      </c>
      <c r="P84" s="7">
        <f t="shared" si="7"/>
        <v>45133</v>
      </c>
      <c r="Q84" s="7">
        <f t="shared" si="5"/>
        <v>45244</v>
      </c>
      <c r="R84" s="7">
        <f t="shared" si="6"/>
        <v>45257</v>
      </c>
      <c r="S84" t="s">
        <v>32</v>
      </c>
      <c r="T84">
        <v>2</v>
      </c>
      <c r="U84">
        <v>58</v>
      </c>
      <c r="V84">
        <v>2</v>
      </c>
      <c r="W84">
        <v>154</v>
      </c>
      <c r="X84">
        <v>72</v>
      </c>
      <c r="Y84">
        <v>30.4</v>
      </c>
      <c r="Z84" t="b">
        <v>1</v>
      </c>
      <c r="AA84">
        <v>1</v>
      </c>
      <c r="AB84">
        <v>0</v>
      </c>
      <c r="AC84">
        <v>13.1</v>
      </c>
      <c r="AD84">
        <v>2.1800000000000002</v>
      </c>
      <c r="AE84">
        <v>2.41</v>
      </c>
      <c r="AF84">
        <v>223</v>
      </c>
      <c r="AG84">
        <v>4.5999999999999996</v>
      </c>
      <c r="AJ84">
        <v>15</v>
      </c>
      <c r="AK84" t="s">
        <v>30</v>
      </c>
      <c r="AL84">
        <v>12002</v>
      </c>
    </row>
    <row r="85" spans="1:38" x14ac:dyDescent="0.25">
      <c r="A85" s="6">
        <v>62005</v>
      </c>
      <c r="B85" s="7">
        <v>45616</v>
      </c>
      <c r="C85" s="6" t="s">
        <v>27</v>
      </c>
      <c r="D85" s="6">
        <v>14</v>
      </c>
      <c r="E85" s="6" t="s">
        <v>30</v>
      </c>
      <c r="F85" s="6">
        <v>12002</v>
      </c>
      <c r="G85" s="6">
        <v>0</v>
      </c>
      <c r="H85" s="6">
        <v>289</v>
      </c>
      <c r="I85" s="6">
        <v>0</v>
      </c>
      <c r="J85" s="6" t="s">
        <v>37</v>
      </c>
      <c r="K85" s="6" t="s">
        <v>53</v>
      </c>
      <c r="L85" s="6">
        <v>124</v>
      </c>
      <c r="M85" s="6">
        <v>137</v>
      </c>
      <c r="N85" s="7">
        <v>45622</v>
      </c>
      <c r="O85" s="7">
        <f t="shared" si="4"/>
        <v>45622</v>
      </c>
      <c r="P85" s="7">
        <f t="shared" si="7"/>
        <v>45635</v>
      </c>
      <c r="Q85" s="7">
        <f t="shared" si="5"/>
        <v>45746</v>
      </c>
      <c r="R85" s="7">
        <f t="shared" si="6"/>
        <v>45759</v>
      </c>
      <c r="S85" t="s">
        <v>32</v>
      </c>
      <c r="T85">
        <v>2</v>
      </c>
      <c r="U85">
        <v>30</v>
      </c>
      <c r="V85">
        <v>1</v>
      </c>
      <c r="W85">
        <v>161</v>
      </c>
      <c r="X85">
        <v>53</v>
      </c>
      <c r="Y85">
        <v>20.399999999999999</v>
      </c>
      <c r="Z85" t="b">
        <v>0</v>
      </c>
      <c r="AA85">
        <v>0</v>
      </c>
      <c r="AB85">
        <v>0</v>
      </c>
      <c r="AC85">
        <v>10.9</v>
      </c>
      <c r="AD85">
        <v>1.1000000000000001</v>
      </c>
      <c r="AE85">
        <v>4.8</v>
      </c>
      <c r="AF85">
        <v>359</v>
      </c>
      <c r="AG85">
        <v>45</v>
      </c>
      <c r="AJ85">
        <v>15</v>
      </c>
      <c r="AK85" t="s">
        <v>30</v>
      </c>
      <c r="AL85">
        <v>12002</v>
      </c>
    </row>
    <row r="86" spans="1:38" s="2" customFormat="1" x14ac:dyDescent="0.25">
      <c r="A86" s="2">
        <v>23001</v>
      </c>
      <c r="B86" s="3">
        <v>45078</v>
      </c>
      <c r="C86" s="2" t="s">
        <v>27</v>
      </c>
      <c r="D86" s="2">
        <v>15</v>
      </c>
      <c r="E86" s="2" t="s">
        <v>29</v>
      </c>
      <c r="F86" s="2">
        <v>23001</v>
      </c>
      <c r="G86" s="2">
        <v>1</v>
      </c>
      <c r="H86" s="2">
        <v>28</v>
      </c>
      <c r="I86" s="2">
        <v>1</v>
      </c>
      <c r="J86" s="2" t="s">
        <v>37</v>
      </c>
      <c r="K86" t="s">
        <v>54</v>
      </c>
      <c r="L86" s="2">
        <v>15</v>
      </c>
      <c r="M86" s="2">
        <v>28</v>
      </c>
      <c r="N86" s="3">
        <v>45079</v>
      </c>
      <c r="O86" s="3">
        <f t="shared" si="4"/>
        <v>45079</v>
      </c>
      <c r="P86" s="3">
        <f t="shared" si="7"/>
        <v>45092</v>
      </c>
      <c r="Q86" s="3">
        <f t="shared" si="5"/>
        <v>45094</v>
      </c>
      <c r="R86" s="3">
        <f t="shared" si="6"/>
        <v>45107</v>
      </c>
      <c r="S86" s="2" t="s">
        <v>33</v>
      </c>
      <c r="T86" s="2">
        <v>3</v>
      </c>
      <c r="U86" s="2">
        <v>59</v>
      </c>
      <c r="V86" s="2">
        <v>1</v>
      </c>
      <c r="W86" s="2">
        <v>174</v>
      </c>
      <c r="X86" s="2">
        <v>60</v>
      </c>
      <c r="Y86" s="2">
        <v>19.8</v>
      </c>
      <c r="Z86" s="2" t="b">
        <v>1</v>
      </c>
      <c r="AA86" s="2">
        <v>1</v>
      </c>
      <c r="AB86" s="2">
        <v>0</v>
      </c>
      <c r="AC86" s="2">
        <v>14</v>
      </c>
      <c r="AD86" s="2">
        <v>0.5</v>
      </c>
      <c r="AE86" s="2">
        <v>4.8499999999999996</v>
      </c>
      <c r="AF86" s="2">
        <v>158</v>
      </c>
      <c r="AG86" s="2">
        <v>3.8</v>
      </c>
      <c r="AJ86" s="2">
        <v>17</v>
      </c>
      <c r="AK86" s="2" t="s">
        <v>29</v>
      </c>
      <c r="AL86" s="2">
        <v>23001</v>
      </c>
    </row>
    <row r="87" spans="1:38" x14ac:dyDescent="0.25">
      <c r="A87" s="6">
        <v>53003</v>
      </c>
      <c r="B87" s="7">
        <v>45345</v>
      </c>
      <c r="C87" s="6" t="s">
        <v>27</v>
      </c>
      <c r="D87" s="6">
        <v>15</v>
      </c>
      <c r="E87" s="6" t="s">
        <v>30</v>
      </c>
      <c r="F87" s="6">
        <v>23001</v>
      </c>
      <c r="G87" s="6">
        <v>0</v>
      </c>
      <c r="H87" s="6">
        <v>566</v>
      </c>
      <c r="I87" s="6">
        <v>0</v>
      </c>
      <c r="J87" s="6" t="s">
        <v>37</v>
      </c>
      <c r="K87" s="6" t="s">
        <v>54</v>
      </c>
      <c r="L87" s="6">
        <v>15</v>
      </c>
      <c r="M87" s="6">
        <v>28</v>
      </c>
      <c r="N87" s="7">
        <v>45345</v>
      </c>
      <c r="O87" s="7">
        <f t="shared" si="4"/>
        <v>45345</v>
      </c>
      <c r="P87" s="7">
        <f t="shared" si="7"/>
        <v>45358</v>
      </c>
      <c r="Q87" s="7">
        <f t="shared" si="5"/>
        <v>45360</v>
      </c>
      <c r="R87" s="7">
        <f t="shared" si="6"/>
        <v>45373</v>
      </c>
      <c r="S87" t="s">
        <v>33</v>
      </c>
      <c r="T87">
        <v>3</v>
      </c>
      <c r="U87">
        <v>68</v>
      </c>
      <c r="V87">
        <v>1</v>
      </c>
      <c r="W87">
        <v>152</v>
      </c>
      <c r="X87">
        <v>84</v>
      </c>
      <c r="Y87">
        <v>36.4</v>
      </c>
      <c r="Z87" t="b">
        <v>0</v>
      </c>
      <c r="AA87">
        <v>0</v>
      </c>
      <c r="AB87">
        <v>1</v>
      </c>
      <c r="AC87">
        <v>15.2</v>
      </c>
      <c r="AD87">
        <v>2.37</v>
      </c>
      <c r="AE87">
        <v>6.6</v>
      </c>
      <c r="AF87">
        <v>238</v>
      </c>
      <c r="AG87">
        <v>44.2</v>
      </c>
      <c r="AJ87">
        <v>17</v>
      </c>
      <c r="AK87" t="s">
        <v>30</v>
      </c>
      <c r="AL87">
        <v>23001</v>
      </c>
    </row>
    <row r="88" spans="1:38" x14ac:dyDescent="0.25">
      <c r="A88" s="6">
        <v>53001</v>
      </c>
      <c r="B88" s="7">
        <v>45223</v>
      </c>
      <c r="C88" s="6" t="s">
        <v>27</v>
      </c>
      <c r="D88" s="6">
        <v>15</v>
      </c>
      <c r="E88" s="6" t="s">
        <v>30</v>
      </c>
      <c r="F88" s="6">
        <v>23001</v>
      </c>
      <c r="G88" s="6">
        <v>1</v>
      </c>
      <c r="H88" s="6">
        <v>233</v>
      </c>
      <c r="I88" s="6">
        <v>0</v>
      </c>
      <c r="J88" s="6" t="s">
        <v>37</v>
      </c>
      <c r="K88" s="6" t="s">
        <v>54</v>
      </c>
      <c r="L88" s="6">
        <v>15</v>
      </c>
      <c r="M88" s="6">
        <v>28</v>
      </c>
      <c r="N88" s="7">
        <v>45223</v>
      </c>
      <c r="O88" s="7">
        <f t="shared" si="4"/>
        <v>45223</v>
      </c>
      <c r="P88" s="7">
        <f t="shared" si="7"/>
        <v>45236</v>
      </c>
      <c r="Q88" s="7">
        <f t="shared" si="5"/>
        <v>45238</v>
      </c>
      <c r="R88" s="7">
        <f t="shared" si="6"/>
        <v>45251</v>
      </c>
      <c r="S88" t="s">
        <v>33</v>
      </c>
      <c r="T88">
        <v>3</v>
      </c>
      <c r="U88">
        <v>63</v>
      </c>
      <c r="V88">
        <v>1</v>
      </c>
      <c r="W88">
        <v>160</v>
      </c>
      <c r="X88">
        <v>72</v>
      </c>
      <c r="Y88">
        <v>28.1</v>
      </c>
      <c r="Z88" t="b">
        <v>0</v>
      </c>
      <c r="AA88">
        <v>0</v>
      </c>
      <c r="AB88">
        <v>1</v>
      </c>
      <c r="AC88">
        <v>13.1</v>
      </c>
      <c r="AD88">
        <v>1.64</v>
      </c>
      <c r="AE88">
        <v>5.43</v>
      </c>
      <c r="AF88">
        <v>272</v>
      </c>
      <c r="AJ88">
        <v>17</v>
      </c>
      <c r="AK88" t="s">
        <v>30</v>
      </c>
      <c r="AL88">
        <v>23001</v>
      </c>
    </row>
    <row r="89" spans="1:38" x14ac:dyDescent="0.25">
      <c r="A89" s="6">
        <v>23013</v>
      </c>
      <c r="B89" s="7">
        <v>45742</v>
      </c>
      <c r="C89" s="6" t="s">
        <v>27</v>
      </c>
      <c r="D89" s="6">
        <v>15</v>
      </c>
      <c r="E89" s="6" t="s">
        <v>30</v>
      </c>
      <c r="F89" s="6">
        <v>23001</v>
      </c>
      <c r="G89" s="6">
        <v>0</v>
      </c>
      <c r="H89" s="6">
        <v>169</v>
      </c>
      <c r="I89" s="6">
        <v>0</v>
      </c>
      <c r="J89" s="6" t="s">
        <v>37</v>
      </c>
      <c r="K89" s="6" t="s">
        <v>54</v>
      </c>
      <c r="L89" s="6">
        <v>15</v>
      </c>
      <c r="M89" s="6">
        <v>28</v>
      </c>
      <c r="N89" s="7">
        <v>45742</v>
      </c>
      <c r="O89" s="7">
        <f t="shared" si="4"/>
        <v>45742</v>
      </c>
      <c r="P89" s="7">
        <f t="shared" si="7"/>
        <v>45755</v>
      </c>
      <c r="Q89" s="7">
        <f t="shared" si="5"/>
        <v>45757</v>
      </c>
      <c r="R89" s="7">
        <f t="shared" si="6"/>
        <v>45770</v>
      </c>
      <c r="S89" t="s">
        <v>33</v>
      </c>
      <c r="T89">
        <v>3</v>
      </c>
      <c r="U89">
        <v>73</v>
      </c>
      <c r="V89">
        <v>1</v>
      </c>
      <c r="W89">
        <v>159</v>
      </c>
      <c r="X89">
        <v>67</v>
      </c>
      <c r="Y89">
        <v>26.5</v>
      </c>
      <c r="Z89" t="b">
        <v>1</v>
      </c>
      <c r="AA89">
        <v>1</v>
      </c>
      <c r="AC89">
        <v>13.5</v>
      </c>
      <c r="AD89">
        <v>1.1599999999999999</v>
      </c>
      <c r="AE89">
        <v>10.5</v>
      </c>
      <c r="AF89">
        <v>360</v>
      </c>
      <c r="AG89">
        <v>3.9</v>
      </c>
      <c r="AJ89">
        <v>17</v>
      </c>
      <c r="AK89" t="s">
        <v>30</v>
      </c>
      <c r="AL89">
        <v>23001</v>
      </c>
    </row>
    <row r="90" spans="1:38" x14ac:dyDescent="0.25">
      <c r="A90" s="6">
        <v>23003</v>
      </c>
      <c r="B90" s="7">
        <v>45100</v>
      </c>
      <c r="C90" s="6" t="s">
        <v>27</v>
      </c>
      <c r="D90" s="6">
        <v>15</v>
      </c>
      <c r="E90" s="6" t="s">
        <v>30</v>
      </c>
      <c r="F90" s="6">
        <v>23001</v>
      </c>
      <c r="G90" s="6">
        <v>1</v>
      </c>
      <c r="H90" s="6">
        <v>209</v>
      </c>
      <c r="I90" s="6">
        <v>0</v>
      </c>
      <c r="J90" s="6" t="s">
        <v>37</v>
      </c>
      <c r="K90" s="6" t="s">
        <v>54</v>
      </c>
      <c r="L90" s="6">
        <v>15</v>
      </c>
      <c r="M90" s="6">
        <v>28</v>
      </c>
      <c r="N90" s="7">
        <v>45100</v>
      </c>
      <c r="O90" s="7">
        <f t="shared" si="4"/>
        <v>45100</v>
      </c>
      <c r="P90" s="7">
        <f t="shared" si="7"/>
        <v>45113</v>
      </c>
      <c r="Q90" s="7">
        <f t="shared" si="5"/>
        <v>45115</v>
      </c>
      <c r="R90" s="7">
        <f t="shared" si="6"/>
        <v>45128</v>
      </c>
      <c r="S90" t="s">
        <v>33</v>
      </c>
      <c r="T90">
        <v>3</v>
      </c>
      <c r="U90">
        <v>67</v>
      </c>
      <c r="V90">
        <v>1</v>
      </c>
      <c r="X90">
        <v>57.2</v>
      </c>
      <c r="Z90" t="b">
        <v>0</v>
      </c>
      <c r="AA90">
        <v>0</v>
      </c>
      <c r="AB90">
        <v>2</v>
      </c>
      <c r="AC90">
        <v>8.9</v>
      </c>
      <c r="AD90">
        <v>1.78</v>
      </c>
      <c r="AE90">
        <v>11.7</v>
      </c>
      <c r="AF90">
        <v>311</v>
      </c>
      <c r="AG90">
        <v>3.7</v>
      </c>
      <c r="AJ90">
        <v>17</v>
      </c>
      <c r="AK90" t="s">
        <v>30</v>
      </c>
      <c r="AL90">
        <v>23001</v>
      </c>
    </row>
    <row r="91" spans="1:38" x14ac:dyDescent="0.25">
      <c r="A91" s="6">
        <v>63004</v>
      </c>
      <c r="B91" s="7">
        <v>45630</v>
      </c>
      <c r="C91" s="6" t="s">
        <v>27</v>
      </c>
      <c r="D91" s="6">
        <v>15</v>
      </c>
      <c r="E91" s="6" t="s">
        <v>30</v>
      </c>
      <c r="F91" s="6">
        <v>23001</v>
      </c>
      <c r="G91" s="6">
        <v>0</v>
      </c>
      <c r="H91" s="6">
        <v>280</v>
      </c>
      <c r="I91" s="6">
        <v>0</v>
      </c>
      <c r="J91" s="6" t="s">
        <v>37</v>
      </c>
      <c r="K91" s="6" t="s">
        <v>54</v>
      </c>
      <c r="L91" s="6">
        <v>15</v>
      </c>
      <c r="M91" s="6">
        <v>28</v>
      </c>
      <c r="N91" s="7">
        <v>45631</v>
      </c>
      <c r="O91" s="7">
        <f t="shared" si="4"/>
        <v>45631</v>
      </c>
      <c r="P91" s="7">
        <f t="shared" si="7"/>
        <v>45644</v>
      </c>
      <c r="Q91" s="7">
        <f t="shared" si="5"/>
        <v>45646</v>
      </c>
      <c r="R91" s="7">
        <f t="shared" si="6"/>
        <v>45659</v>
      </c>
      <c r="S91" t="s">
        <v>33</v>
      </c>
      <c r="T91">
        <v>3</v>
      </c>
      <c r="U91">
        <v>69</v>
      </c>
      <c r="V91">
        <v>1</v>
      </c>
      <c r="W91">
        <v>153</v>
      </c>
      <c r="X91">
        <v>64.5</v>
      </c>
      <c r="Y91">
        <v>27.6</v>
      </c>
      <c r="Z91" t="b">
        <v>1</v>
      </c>
      <c r="AA91">
        <v>1</v>
      </c>
      <c r="AB91">
        <v>1</v>
      </c>
      <c r="AJ91">
        <v>17</v>
      </c>
      <c r="AK91" t="s">
        <v>30</v>
      </c>
      <c r="AL91">
        <v>23001</v>
      </c>
    </row>
    <row r="92" spans="1:38" s="2" customFormat="1" x14ac:dyDescent="0.25">
      <c r="A92" s="2">
        <v>13008</v>
      </c>
      <c r="B92" s="3">
        <v>45783</v>
      </c>
      <c r="C92" s="2" t="s">
        <v>31</v>
      </c>
      <c r="D92" s="2">
        <v>16</v>
      </c>
      <c r="E92" s="2" t="s">
        <v>29</v>
      </c>
      <c r="F92" s="2">
        <v>13008</v>
      </c>
      <c r="G92" s="2">
        <v>1</v>
      </c>
      <c r="H92" s="2">
        <v>37</v>
      </c>
      <c r="I92" s="2">
        <v>1</v>
      </c>
      <c r="J92" s="2" t="s">
        <v>37</v>
      </c>
      <c r="K92" t="s">
        <v>55</v>
      </c>
      <c r="L92" s="2">
        <v>24</v>
      </c>
      <c r="M92" s="2">
        <v>37</v>
      </c>
      <c r="N92" s="3">
        <v>45783</v>
      </c>
      <c r="O92" s="3">
        <f t="shared" si="4"/>
        <v>45783</v>
      </c>
      <c r="P92" s="3">
        <f t="shared" si="7"/>
        <v>45796</v>
      </c>
      <c r="Q92" s="3">
        <f t="shared" si="5"/>
        <v>45807</v>
      </c>
      <c r="R92" s="3">
        <f t="shared" si="6"/>
        <v>45820</v>
      </c>
      <c r="S92" s="2" t="s">
        <v>33</v>
      </c>
      <c r="T92" s="2">
        <v>3</v>
      </c>
      <c r="U92" s="2">
        <v>70</v>
      </c>
      <c r="V92" s="2">
        <v>1</v>
      </c>
      <c r="W92" s="2">
        <v>149</v>
      </c>
      <c r="X92" s="2">
        <v>57.8</v>
      </c>
      <c r="Y92" s="2">
        <v>26</v>
      </c>
      <c r="Z92" s="2" t="b">
        <v>1</v>
      </c>
      <c r="AA92" s="2">
        <v>1</v>
      </c>
      <c r="AB92" s="2">
        <v>1</v>
      </c>
      <c r="AC92" s="2">
        <v>14.2</v>
      </c>
      <c r="AD92" s="2">
        <v>1.67</v>
      </c>
      <c r="AE92" s="2">
        <v>5.92</v>
      </c>
      <c r="AF92" s="2">
        <v>210</v>
      </c>
      <c r="AG92" s="2">
        <v>4.34</v>
      </c>
      <c r="AJ92" s="2">
        <v>18</v>
      </c>
      <c r="AK92" s="2" t="s">
        <v>29</v>
      </c>
      <c r="AL92" s="2">
        <v>13008</v>
      </c>
    </row>
    <row r="93" spans="1:38" x14ac:dyDescent="0.25">
      <c r="A93" s="6">
        <v>23012</v>
      </c>
      <c r="B93" s="7">
        <v>45713</v>
      </c>
      <c r="C93" s="6" t="s">
        <v>27</v>
      </c>
      <c r="D93" s="6">
        <v>16</v>
      </c>
      <c r="E93" s="6" t="s">
        <v>30</v>
      </c>
      <c r="F93" s="6">
        <v>13008</v>
      </c>
      <c r="G93" s="6">
        <v>0</v>
      </c>
      <c r="H93" s="6">
        <v>196</v>
      </c>
      <c r="I93" s="6">
        <v>0</v>
      </c>
      <c r="J93" s="6" t="s">
        <v>37</v>
      </c>
      <c r="K93" s="6" t="s">
        <v>55</v>
      </c>
      <c r="L93" s="6">
        <v>24</v>
      </c>
      <c r="M93" s="6">
        <v>37</v>
      </c>
      <c r="N93" s="7">
        <v>45715</v>
      </c>
      <c r="O93" s="7">
        <f t="shared" si="4"/>
        <v>45715</v>
      </c>
      <c r="P93" s="7">
        <f t="shared" si="7"/>
        <v>45728</v>
      </c>
      <c r="Q93" s="7">
        <f t="shared" si="5"/>
        <v>45739</v>
      </c>
      <c r="R93" s="7">
        <f t="shared" si="6"/>
        <v>45752</v>
      </c>
      <c r="S93" t="s">
        <v>33</v>
      </c>
      <c r="T93">
        <v>3</v>
      </c>
      <c r="U93">
        <v>69</v>
      </c>
      <c r="V93">
        <v>1</v>
      </c>
      <c r="W93">
        <v>156</v>
      </c>
      <c r="X93">
        <v>43</v>
      </c>
      <c r="Y93">
        <v>17.7</v>
      </c>
      <c r="Z93" t="b">
        <v>0</v>
      </c>
      <c r="AA93">
        <v>0</v>
      </c>
      <c r="AC93">
        <v>15.9</v>
      </c>
      <c r="AD93">
        <v>1.58</v>
      </c>
      <c r="AE93">
        <v>2.78</v>
      </c>
      <c r="AF93">
        <v>230</v>
      </c>
      <c r="AG93">
        <v>4.5999999999999996</v>
      </c>
      <c r="AI93">
        <v>0.1</v>
      </c>
      <c r="AJ93">
        <v>18</v>
      </c>
      <c r="AK93" t="s">
        <v>30</v>
      </c>
      <c r="AL93">
        <v>13008</v>
      </c>
    </row>
    <row r="94" spans="1:38" x14ac:dyDescent="0.25">
      <c r="A94" s="6">
        <v>73003</v>
      </c>
      <c r="B94" s="7">
        <v>45091</v>
      </c>
      <c r="C94" s="6" t="s">
        <v>27</v>
      </c>
      <c r="D94" s="6">
        <v>16</v>
      </c>
      <c r="E94" s="6" t="s">
        <v>30</v>
      </c>
      <c r="F94" s="6">
        <v>13008</v>
      </c>
      <c r="G94" s="6">
        <v>1</v>
      </c>
      <c r="H94" s="6">
        <v>180</v>
      </c>
      <c r="I94" s="6">
        <v>0</v>
      </c>
      <c r="J94" s="6" t="s">
        <v>37</v>
      </c>
      <c r="K94" s="6" t="s">
        <v>55</v>
      </c>
      <c r="L94" s="6">
        <v>24</v>
      </c>
      <c r="M94" s="6">
        <v>37</v>
      </c>
      <c r="N94" s="7">
        <v>45091</v>
      </c>
      <c r="O94" s="7">
        <f t="shared" si="4"/>
        <v>45091</v>
      </c>
      <c r="P94" s="7">
        <f t="shared" si="7"/>
        <v>45104</v>
      </c>
      <c r="Q94" s="7">
        <f t="shared" si="5"/>
        <v>45115</v>
      </c>
      <c r="R94" s="7">
        <f t="shared" si="6"/>
        <v>45128</v>
      </c>
      <c r="S94" t="s">
        <v>33</v>
      </c>
      <c r="T94">
        <v>3</v>
      </c>
      <c r="U94">
        <v>68</v>
      </c>
      <c r="V94">
        <v>1</v>
      </c>
      <c r="W94">
        <v>154</v>
      </c>
      <c r="X94">
        <v>65</v>
      </c>
      <c r="Y94">
        <v>27.4</v>
      </c>
      <c r="Z94" t="b">
        <v>1</v>
      </c>
      <c r="AA94">
        <v>1</v>
      </c>
      <c r="AB94">
        <v>1</v>
      </c>
      <c r="AC94">
        <v>12.3</v>
      </c>
      <c r="AD94">
        <v>1.32</v>
      </c>
      <c r="AE94">
        <v>3.19</v>
      </c>
      <c r="AF94">
        <v>338</v>
      </c>
      <c r="AI94">
        <v>13.2</v>
      </c>
      <c r="AJ94">
        <v>18</v>
      </c>
      <c r="AK94" t="s">
        <v>30</v>
      </c>
      <c r="AL94">
        <v>13008</v>
      </c>
    </row>
    <row r="95" spans="1:38" x14ac:dyDescent="0.25">
      <c r="A95" s="6">
        <v>23006</v>
      </c>
      <c r="B95" s="7">
        <v>45385</v>
      </c>
      <c r="C95" s="6" t="s">
        <v>27</v>
      </c>
      <c r="D95" s="6">
        <v>16</v>
      </c>
      <c r="E95" s="6" t="s">
        <v>30</v>
      </c>
      <c r="F95" s="6">
        <v>13008</v>
      </c>
      <c r="G95" s="6">
        <v>1</v>
      </c>
      <c r="H95" s="6">
        <v>241</v>
      </c>
      <c r="I95" s="6">
        <v>0</v>
      </c>
      <c r="J95" s="6" t="s">
        <v>37</v>
      </c>
      <c r="K95" s="6" t="s">
        <v>55</v>
      </c>
      <c r="L95" s="6">
        <v>24</v>
      </c>
      <c r="M95" s="6">
        <v>37</v>
      </c>
      <c r="N95" s="7">
        <v>45390</v>
      </c>
      <c r="O95" s="7">
        <f t="shared" si="4"/>
        <v>45390</v>
      </c>
      <c r="P95" s="7">
        <f t="shared" si="7"/>
        <v>45403</v>
      </c>
      <c r="Q95" s="7">
        <f t="shared" si="5"/>
        <v>45414</v>
      </c>
      <c r="R95" s="7">
        <f t="shared" si="6"/>
        <v>45427</v>
      </c>
      <c r="S95" t="s">
        <v>33</v>
      </c>
      <c r="T95">
        <v>3</v>
      </c>
      <c r="U95">
        <v>71</v>
      </c>
      <c r="V95">
        <v>1</v>
      </c>
      <c r="X95">
        <v>58.6</v>
      </c>
      <c r="Z95" t="b">
        <v>0</v>
      </c>
      <c r="AA95">
        <v>0</v>
      </c>
      <c r="AB95">
        <v>1</v>
      </c>
      <c r="AC95">
        <v>11.6</v>
      </c>
      <c r="AD95">
        <v>2.36</v>
      </c>
      <c r="AE95">
        <v>3.47</v>
      </c>
      <c r="AF95">
        <v>362</v>
      </c>
      <c r="AG95">
        <v>4.4000000000000004</v>
      </c>
      <c r="AJ95">
        <v>18</v>
      </c>
      <c r="AK95" t="s">
        <v>30</v>
      </c>
      <c r="AL95">
        <v>13008</v>
      </c>
    </row>
    <row r="96" spans="1:38" x14ac:dyDescent="0.25">
      <c r="A96" s="6">
        <v>23007</v>
      </c>
      <c r="B96" s="7">
        <v>45387</v>
      </c>
      <c r="C96" s="6" t="s">
        <v>27</v>
      </c>
      <c r="D96" s="6">
        <v>16</v>
      </c>
      <c r="E96" s="6" t="s">
        <v>30</v>
      </c>
      <c r="F96" s="6">
        <v>13008</v>
      </c>
      <c r="G96" s="6">
        <v>0</v>
      </c>
      <c r="H96" s="6">
        <v>521</v>
      </c>
      <c r="I96" s="6">
        <v>0</v>
      </c>
      <c r="J96" s="6" t="s">
        <v>37</v>
      </c>
      <c r="K96" s="6" t="s">
        <v>55</v>
      </c>
      <c r="L96" s="6">
        <v>24</v>
      </c>
      <c r="M96" s="6">
        <v>37</v>
      </c>
      <c r="N96" s="7">
        <v>45390</v>
      </c>
      <c r="O96" s="7">
        <f t="shared" si="4"/>
        <v>45390</v>
      </c>
      <c r="P96" s="7">
        <f t="shared" si="7"/>
        <v>45403</v>
      </c>
      <c r="Q96" s="7">
        <f t="shared" si="5"/>
        <v>45414</v>
      </c>
      <c r="R96" s="7">
        <f t="shared" si="6"/>
        <v>45427</v>
      </c>
      <c r="S96" t="s">
        <v>33</v>
      </c>
      <c r="T96">
        <v>3</v>
      </c>
      <c r="U96">
        <v>70</v>
      </c>
      <c r="V96">
        <v>1</v>
      </c>
      <c r="X96">
        <v>76</v>
      </c>
      <c r="Z96" t="b">
        <v>0</v>
      </c>
      <c r="AA96">
        <v>0</v>
      </c>
      <c r="AB96">
        <v>1</v>
      </c>
      <c r="AC96">
        <v>13.3</v>
      </c>
      <c r="AD96">
        <v>2.2400000000000002</v>
      </c>
      <c r="AE96">
        <v>3.41</v>
      </c>
      <c r="AF96">
        <v>223</v>
      </c>
      <c r="AG96">
        <v>4.2</v>
      </c>
      <c r="AI96">
        <v>1.5</v>
      </c>
      <c r="AJ96">
        <v>18</v>
      </c>
      <c r="AK96" t="s">
        <v>30</v>
      </c>
      <c r="AL96">
        <v>13008</v>
      </c>
    </row>
    <row r="97" spans="1:38" x14ac:dyDescent="0.25">
      <c r="A97" s="6">
        <v>23008</v>
      </c>
      <c r="B97" s="7">
        <v>45420</v>
      </c>
      <c r="C97" s="6" t="s">
        <v>27</v>
      </c>
      <c r="D97" s="6">
        <v>16</v>
      </c>
      <c r="E97" s="6" t="s">
        <v>30</v>
      </c>
      <c r="F97" s="6">
        <v>13008</v>
      </c>
      <c r="G97" s="6">
        <v>0</v>
      </c>
      <c r="H97" s="6">
        <v>483</v>
      </c>
      <c r="I97" s="6">
        <v>0</v>
      </c>
      <c r="J97" s="6" t="s">
        <v>37</v>
      </c>
      <c r="K97" s="6" t="s">
        <v>55</v>
      </c>
      <c r="L97" s="6">
        <v>24</v>
      </c>
      <c r="M97" s="6">
        <v>37</v>
      </c>
      <c r="N97" s="7">
        <v>45428</v>
      </c>
      <c r="O97" s="7">
        <f t="shared" si="4"/>
        <v>45428</v>
      </c>
      <c r="P97" s="7">
        <f t="shared" si="7"/>
        <v>45441</v>
      </c>
      <c r="Q97" s="7">
        <f t="shared" si="5"/>
        <v>45452</v>
      </c>
      <c r="R97" s="7">
        <f t="shared" si="6"/>
        <v>45465</v>
      </c>
      <c r="S97" t="s">
        <v>33</v>
      </c>
      <c r="T97">
        <v>3</v>
      </c>
      <c r="U97">
        <v>61</v>
      </c>
      <c r="V97">
        <v>2</v>
      </c>
      <c r="X97">
        <v>60.7</v>
      </c>
      <c r="Z97" t="b">
        <v>0</v>
      </c>
      <c r="AA97">
        <v>0</v>
      </c>
      <c r="AB97">
        <v>1</v>
      </c>
      <c r="AC97">
        <v>14.9</v>
      </c>
      <c r="AD97">
        <v>1.7</v>
      </c>
      <c r="AE97">
        <v>31.75</v>
      </c>
      <c r="AF97">
        <v>302</v>
      </c>
      <c r="AG97">
        <v>3.7</v>
      </c>
      <c r="AJ97">
        <v>18</v>
      </c>
      <c r="AK97" t="s">
        <v>30</v>
      </c>
      <c r="AL97">
        <v>13008</v>
      </c>
    </row>
    <row r="98" spans="1:38" s="2" customFormat="1" x14ac:dyDescent="0.25">
      <c r="A98" s="2">
        <v>23002</v>
      </c>
      <c r="B98" s="3">
        <v>45089</v>
      </c>
      <c r="C98" s="2" t="s">
        <v>27</v>
      </c>
      <c r="D98" s="2">
        <v>17</v>
      </c>
      <c r="E98" s="2" t="s">
        <v>29</v>
      </c>
      <c r="F98" s="2">
        <v>23002</v>
      </c>
      <c r="G98" s="2">
        <v>1</v>
      </c>
      <c r="H98" s="2">
        <v>70</v>
      </c>
      <c r="I98" s="2">
        <v>1</v>
      </c>
      <c r="J98" s="2" t="s">
        <v>37</v>
      </c>
      <c r="K98" t="s">
        <v>56</v>
      </c>
      <c r="L98" s="2">
        <v>57</v>
      </c>
      <c r="M98" s="2">
        <v>70</v>
      </c>
      <c r="N98" s="3">
        <v>45089</v>
      </c>
      <c r="O98" s="3">
        <f t="shared" si="4"/>
        <v>45089</v>
      </c>
      <c r="P98" s="3">
        <f t="shared" si="7"/>
        <v>45102</v>
      </c>
      <c r="Q98" s="3">
        <f t="shared" si="5"/>
        <v>45146</v>
      </c>
      <c r="R98" s="3">
        <f t="shared" si="6"/>
        <v>45159</v>
      </c>
      <c r="S98" s="2" t="s">
        <v>33</v>
      </c>
      <c r="T98" s="2">
        <v>3</v>
      </c>
      <c r="U98" s="2">
        <v>67</v>
      </c>
      <c r="V98" s="2">
        <v>1</v>
      </c>
      <c r="W98" s="2">
        <v>165</v>
      </c>
      <c r="X98" s="2">
        <v>63</v>
      </c>
      <c r="Y98" s="2">
        <v>23.1</v>
      </c>
      <c r="Z98" s="2" t="b">
        <v>1</v>
      </c>
      <c r="AA98" s="2">
        <v>1</v>
      </c>
      <c r="AB98" s="2">
        <v>0</v>
      </c>
      <c r="AC98" s="2">
        <v>14.1</v>
      </c>
      <c r="AD98" s="2">
        <v>1.99</v>
      </c>
      <c r="AE98" s="2">
        <v>3.31</v>
      </c>
      <c r="AF98" s="2">
        <v>294</v>
      </c>
      <c r="AG98" s="2">
        <v>4.4000000000000004</v>
      </c>
      <c r="AI98" s="2">
        <v>0.3</v>
      </c>
      <c r="AJ98" s="2">
        <v>19</v>
      </c>
      <c r="AK98" s="2" t="s">
        <v>29</v>
      </c>
      <c r="AL98" s="2">
        <v>23002</v>
      </c>
    </row>
    <row r="99" spans="1:38" x14ac:dyDescent="0.25">
      <c r="A99" s="6">
        <v>73007</v>
      </c>
      <c r="B99" s="7">
        <v>45212</v>
      </c>
      <c r="C99" s="6" t="s">
        <v>27</v>
      </c>
      <c r="D99" s="6">
        <v>17</v>
      </c>
      <c r="E99" s="6" t="s">
        <v>30</v>
      </c>
      <c r="F99" s="6">
        <v>23002</v>
      </c>
      <c r="G99" s="6">
        <v>1</v>
      </c>
      <c r="H99" s="6">
        <v>734</v>
      </c>
      <c r="I99" s="6">
        <v>0</v>
      </c>
      <c r="J99" s="6" t="s">
        <v>37</v>
      </c>
      <c r="K99" s="6" t="s">
        <v>56</v>
      </c>
      <c r="L99" s="6">
        <v>57</v>
      </c>
      <c r="M99" s="6">
        <v>70</v>
      </c>
      <c r="N99" s="7">
        <v>45218</v>
      </c>
      <c r="O99" s="7">
        <f t="shared" si="4"/>
        <v>45218</v>
      </c>
      <c r="P99" s="7">
        <f t="shared" si="7"/>
        <v>45231</v>
      </c>
      <c r="Q99" s="7">
        <f t="shared" si="5"/>
        <v>45275</v>
      </c>
      <c r="R99" s="7">
        <f t="shared" si="6"/>
        <v>45288</v>
      </c>
      <c r="S99" t="s">
        <v>33</v>
      </c>
      <c r="T99">
        <v>3</v>
      </c>
      <c r="U99">
        <v>69</v>
      </c>
      <c r="V99">
        <v>1</v>
      </c>
      <c r="W99">
        <v>149</v>
      </c>
      <c r="X99">
        <v>59.4</v>
      </c>
      <c r="Y99">
        <v>26.8</v>
      </c>
      <c r="Z99" t="b">
        <v>1</v>
      </c>
      <c r="AA99">
        <v>1</v>
      </c>
      <c r="AB99">
        <v>1</v>
      </c>
      <c r="AC99">
        <v>13.1</v>
      </c>
      <c r="AD99">
        <v>0.96</v>
      </c>
      <c r="AE99">
        <v>5.24</v>
      </c>
      <c r="AF99">
        <v>281</v>
      </c>
      <c r="AI99">
        <v>7.1</v>
      </c>
      <c r="AJ99">
        <v>19</v>
      </c>
      <c r="AK99" t="s">
        <v>30</v>
      </c>
      <c r="AL99">
        <v>23002</v>
      </c>
    </row>
    <row r="100" spans="1:38" x14ac:dyDescent="0.25">
      <c r="A100" s="6">
        <v>73010</v>
      </c>
      <c r="B100" s="7">
        <v>45300</v>
      </c>
      <c r="C100" s="6" t="s">
        <v>27</v>
      </c>
      <c r="D100" s="6">
        <v>17</v>
      </c>
      <c r="E100" s="6" t="s">
        <v>30</v>
      </c>
      <c r="F100" s="6">
        <v>23002</v>
      </c>
      <c r="G100" s="6">
        <v>0</v>
      </c>
      <c r="H100" s="6">
        <v>610</v>
      </c>
      <c r="I100" s="6">
        <v>0</v>
      </c>
      <c r="J100" s="6" t="s">
        <v>37</v>
      </c>
      <c r="K100" s="6" t="s">
        <v>56</v>
      </c>
      <c r="L100" s="6">
        <v>57</v>
      </c>
      <c r="M100" s="6">
        <v>70</v>
      </c>
      <c r="N100" s="7">
        <v>45301</v>
      </c>
      <c r="O100" s="7">
        <f t="shared" si="4"/>
        <v>45301</v>
      </c>
      <c r="P100" s="7">
        <f t="shared" si="7"/>
        <v>45314</v>
      </c>
      <c r="Q100" s="7">
        <f t="shared" si="5"/>
        <v>45358</v>
      </c>
      <c r="R100" s="7">
        <f t="shared" si="6"/>
        <v>45371</v>
      </c>
      <c r="S100" t="s">
        <v>33</v>
      </c>
      <c r="T100">
        <v>3</v>
      </c>
      <c r="U100">
        <v>52</v>
      </c>
      <c r="V100">
        <v>1</v>
      </c>
      <c r="W100">
        <v>1.56</v>
      </c>
      <c r="X100">
        <v>75.400000000000006</v>
      </c>
      <c r="Y100">
        <v>309829.09999999998</v>
      </c>
      <c r="Z100" t="b">
        <v>1</v>
      </c>
      <c r="AA100">
        <v>1</v>
      </c>
      <c r="AB100">
        <v>0</v>
      </c>
      <c r="AC100">
        <v>12.8</v>
      </c>
      <c r="AD100">
        <v>1.72</v>
      </c>
      <c r="AE100">
        <v>4.17</v>
      </c>
      <c r="AF100">
        <v>271</v>
      </c>
      <c r="AI100">
        <v>2.2000000000000002</v>
      </c>
      <c r="AJ100">
        <v>19</v>
      </c>
      <c r="AK100" t="s">
        <v>30</v>
      </c>
      <c r="AL100">
        <v>23002</v>
      </c>
    </row>
    <row r="101" spans="1:38" x14ac:dyDescent="0.25">
      <c r="A101" s="6">
        <v>93002</v>
      </c>
      <c r="B101" s="7">
        <v>45496</v>
      </c>
      <c r="C101" s="6" t="s">
        <v>27</v>
      </c>
      <c r="D101" s="6">
        <v>17</v>
      </c>
      <c r="E101" s="6" t="s">
        <v>30</v>
      </c>
      <c r="F101" s="6">
        <v>23002</v>
      </c>
      <c r="G101" s="6">
        <v>0</v>
      </c>
      <c r="H101" s="6">
        <v>415</v>
      </c>
      <c r="I101" s="6">
        <v>0</v>
      </c>
      <c r="J101" s="6" t="s">
        <v>37</v>
      </c>
      <c r="K101" s="6" t="s">
        <v>56</v>
      </c>
      <c r="L101" s="6">
        <v>57</v>
      </c>
      <c r="M101" s="6">
        <v>70</v>
      </c>
      <c r="N101" s="7">
        <v>45496</v>
      </c>
      <c r="O101" s="7">
        <f t="shared" si="4"/>
        <v>45496</v>
      </c>
      <c r="P101" s="7">
        <f t="shared" si="7"/>
        <v>45509</v>
      </c>
      <c r="Q101" s="7">
        <f t="shared" si="5"/>
        <v>45553</v>
      </c>
      <c r="R101" s="7">
        <f t="shared" si="6"/>
        <v>45566</v>
      </c>
      <c r="S101" t="s">
        <v>33</v>
      </c>
      <c r="T101">
        <v>3</v>
      </c>
      <c r="U101">
        <v>71</v>
      </c>
      <c r="V101">
        <v>1</v>
      </c>
      <c r="W101">
        <v>148</v>
      </c>
      <c r="X101">
        <v>60</v>
      </c>
      <c r="Y101">
        <v>27.4</v>
      </c>
      <c r="Z101" t="b">
        <v>1</v>
      </c>
      <c r="AA101">
        <v>1</v>
      </c>
      <c r="AB101">
        <v>1</v>
      </c>
      <c r="AC101">
        <v>13.8</v>
      </c>
      <c r="AD101">
        <v>2.04</v>
      </c>
      <c r="AE101">
        <v>8.6300000000000008</v>
      </c>
      <c r="AF101">
        <v>185</v>
      </c>
      <c r="AJ101">
        <v>19</v>
      </c>
      <c r="AK101" t="s">
        <v>30</v>
      </c>
      <c r="AL101">
        <v>23002</v>
      </c>
    </row>
    <row r="102" spans="1:38" x14ac:dyDescent="0.25">
      <c r="A102" s="6">
        <v>23015</v>
      </c>
      <c r="B102" s="7">
        <v>45838</v>
      </c>
      <c r="C102" s="6" t="s">
        <v>27</v>
      </c>
      <c r="D102" s="6">
        <v>17</v>
      </c>
      <c r="E102" s="6" t="s">
        <v>30</v>
      </c>
      <c r="F102" s="6">
        <v>23002</v>
      </c>
      <c r="G102" s="6">
        <v>0</v>
      </c>
      <c r="H102" s="6">
        <v>73</v>
      </c>
      <c r="I102" s="6">
        <v>0</v>
      </c>
      <c r="J102" s="6" t="s">
        <v>37</v>
      </c>
      <c r="K102" s="6" t="s">
        <v>56</v>
      </c>
      <c r="L102" s="6">
        <v>57</v>
      </c>
      <c r="M102" s="6">
        <v>70</v>
      </c>
      <c r="N102" s="7">
        <v>45838</v>
      </c>
      <c r="O102" s="7">
        <f t="shared" si="4"/>
        <v>45838</v>
      </c>
      <c r="P102" s="7">
        <f t="shared" si="7"/>
        <v>45851</v>
      </c>
      <c r="Q102" s="7">
        <f t="shared" si="5"/>
        <v>45895</v>
      </c>
      <c r="R102" s="7">
        <f t="shared" si="6"/>
        <v>45908</v>
      </c>
      <c r="S102" t="s">
        <v>33</v>
      </c>
      <c r="T102">
        <v>3</v>
      </c>
      <c r="U102">
        <v>52</v>
      </c>
      <c r="V102">
        <v>1</v>
      </c>
      <c r="W102">
        <v>159</v>
      </c>
      <c r="X102">
        <v>75</v>
      </c>
      <c r="Y102">
        <v>29.7</v>
      </c>
      <c r="Z102" t="b">
        <v>1</v>
      </c>
      <c r="AA102">
        <v>1</v>
      </c>
      <c r="AB102">
        <v>0</v>
      </c>
      <c r="AC102">
        <v>16.3</v>
      </c>
      <c r="AD102">
        <v>1.83</v>
      </c>
      <c r="AE102">
        <v>9.2100000000000009</v>
      </c>
      <c r="AF102">
        <v>295</v>
      </c>
      <c r="AG102">
        <v>4.5</v>
      </c>
      <c r="AJ102">
        <v>19</v>
      </c>
      <c r="AK102" t="s">
        <v>30</v>
      </c>
      <c r="AL102">
        <v>23002</v>
      </c>
    </row>
    <row r="103" spans="1:38" x14ac:dyDescent="0.25">
      <c r="A103" s="6">
        <v>13007</v>
      </c>
      <c r="B103" s="7">
        <v>45393</v>
      </c>
      <c r="C103" s="6" t="s">
        <v>31</v>
      </c>
      <c r="D103" s="6">
        <v>17</v>
      </c>
      <c r="E103" s="6" t="s">
        <v>30</v>
      </c>
      <c r="F103" s="6">
        <v>23002</v>
      </c>
      <c r="G103" s="6">
        <v>0</v>
      </c>
      <c r="H103" s="6">
        <v>189</v>
      </c>
      <c r="I103" s="6">
        <v>0</v>
      </c>
      <c r="J103" s="6" t="s">
        <v>37</v>
      </c>
      <c r="K103" s="6" t="s">
        <v>56</v>
      </c>
      <c r="L103" s="6">
        <v>57</v>
      </c>
      <c r="M103" s="6">
        <v>70</v>
      </c>
      <c r="N103" s="7">
        <v>45394</v>
      </c>
      <c r="O103" s="7">
        <f t="shared" si="4"/>
        <v>45394</v>
      </c>
      <c r="P103" s="7">
        <f t="shared" si="7"/>
        <v>45407</v>
      </c>
      <c r="Q103" s="7">
        <f t="shared" si="5"/>
        <v>45451</v>
      </c>
      <c r="R103" s="7">
        <f t="shared" si="6"/>
        <v>45464</v>
      </c>
      <c r="S103" t="s">
        <v>33</v>
      </c>
      <c r="T103">
        <v>3</v>
      </c>
      <c r="U103">
        <v>68</v>
      </c>
      <c r="V103">
        <v>1</v>
      </c>
      <c r="W103">
        <v>162</v>
      </c>
      <c r="X103">
        <v>76</v>
      </c>
      <c r="Y103">
        <v>29</v>
      </c>
      <c r="Z103" t="b">
        <v>1</v>
      </c>
      <c r="AA103">
        <v>1</v>
      </c>
      <c r="AB103">
        <v>0</v>
      </c>
      <c r="AC103">
        <v>10.7</v>
      </c>
      <c r="AD103">
        <v>1.03</v>
      </c>
      <c r="AE103">
        <v>6.85</v>
      </c>
      <c r="AF103">
        <v>383</v>
      </c>
      <c r="AG103">
        <v>3.38</v>
      </c>
      <c r="AJ103">
        <v>19</v>
      </c>
      <c r="AK103" t="s">
        <v>30</v>
      </c>
      <c r="AL103">
        <v>23002</v>
      </c>
    </row>
    <row r="104" spans="1:38" s="2" customFormat="1" x14ac:dyDescent="0.25">
      <c r="A104" s="2">
        <v>63005</v>
      </c>
      <c r="B104" s="3">
        <v>45784</v>
      </c>
      <c r="C104" s="2" t="s">
        <v>27</v>
      </c>
      <c r="D104" s="2">
        <v>18</v>
      </c>
      <c r="E104" s="2" t="s">
        <v>29</v>
      </c>
      <c r="F104" s="2">
        <v>63005</v>
      </c>
      <c r="G104" s="2">
        <v>1</v>
      </c>
      <c r="H104" s="2">
        <v>89</v>
      </c>
      <c r="I104" s="2">
        <v>1</v>
      </c>
      <c r="J104" s="2" t="s">
        <v>37</v>
      </c>
      <c r="K104" t="s">
        <v>57</v>
      </c>
      <c r="L104" s="2">
        <v>76</v>
      </c>
      <c r="M104" s="2">
        <v>89</v>
      </c>
      <c r="N104" s="3">
        <v>45799</v>
      </c>
      <c r="O104" s="3">
        <f t="shared" si="4"/>
        <v>45799</v>
      </c>
      <c r="P104" s="3">
        <f t="shared" si="7"/>
        <v>45812</v>
      </c>
      <c r="Q104" s="3">
        <f t="shared" si="5"/>
        <v>45875</v>
      </c>
      <c r="R104" s="3">
        <f t="shared" si="6"/>
        <v>45888</v>
      </c>
      <c r="S104" s="2" t="s">
        <v>33</v>
      </c>
      <c r="T104" s="2">
        <v>3</v>
      </c>
      <c r="U104" s="2">
        <v>66</v>
      </c>
      <c r="V104" s="2">
        <v>1</v>
      </c>
      <c r="W104" s="2">
        <v>165</v>
      </c>
      <c r="X104" s="2">
        <v>75</v>
      </c>
      <c r="Y104" s="2">
        <v>27.5</v>
      </c>
      <c r="Z104" s="2" t="b">
        <v>1</v>
      </c>
      <c r="AA104" s="2">
        <v>1</v>
      </c>
      <c r="AB104" s="2">
        <v>1</v>
      </c>
      <c r="AC104" s="2">
        <v>10</v>
      </c>
      <c r="AD104" s="2">
        <v>0.6</v>
      </c>
      <c r="AE104" s="2">
        <v>10.8</v>
      </c>
      <c r="AF104" s="2">
        <v>489</v>
      </c>
      <c r="AG104" s="2">
        <v>31</v>
      </c>
      <c r="AJ104" s="2">
        <v>20</v>
      </c>
      <c r="AK104" s="2" t="s">
        <v>29</v>
      </c>
      <c r="AL104" s="2">
        <v>63005</v>
      </c>
    </row>
    <row r="105" spans="1:38" x14ac:dyDescent="0.25">
      <c r="A105" s="6">
        <v>73004</v>
      </c>
      <c r="B105" s="7">
        <v>45092</v>
      </c>
      <c r="C105" s="6" t="s">
        <v>27</v>
      </c>
      <c r="D105" s="6">
        <v>18</v>
      </c>
      <c r="E105" s="6" t="s">
        <v>30</v>
      </c>
      <c r="F105" s="6">
        <v>63005</v>
      </c>
      <c r="G105" s="6">
        <v>1</v>
      </c>
      <c r="H105" s="6">
        <v>699</v>
      </c>
      <c r="I105" s="6">
        <v>0</v>
      </c>
      <c r="J105" s="6" t="s">
        <v>37</v>
      </c>
      <c r="K105" s="6" t="s">
        <v>57</v>
      </c>
      <c r="L105" s="6">
        <v>76</v>
      </c>
      <c r="M105" s="6">
        <v>89</v>
      </c>
      <c r="N105" s="7">
        <v>45093</v>
      </c>
      <c r="O105" s="7">
        <f t="shared" si="4"/>
        <v>45093</v>
      </c>
      <c r="P105" s="7">
        <f t="shared" si="7"/>
        <v>45106</v>
      </c>
      <c r="Q105" s="7">
        <f t="shared" si="5"/>
        <v>45169</v>
      </c>
      <c r="R105" s="7">
        <f t="shared" si="6"/>
        <v>45182</v>
      </c>
      <c r="S105" t="s">
        <v>33</v>
      </c>
      <c r="T105">
        <v>3</v>
      </c>
      <c r="U105">
        <v>66</v>
      </c>
      <c r="V105">
        <v>1</v>
      </c>
      <c r="W105">
        <v>166</v>
      </c>
      <c r="X105">
        <v>55</v>
      </c>
      <c r="Y105">
        <v>20</v>
      </c>
      <c r="Z105" t="b">
        <v>1</v>
      </c>
      <c r="AA105">
        <v>1</v>
      </c>
      <c r="AB105">
        <v>0</v>
      </c>
      <c r="AC105">
        <v>12</v>
      </c>
      <c r="AD105">
        <v>1.22</v>
      </c>
      <c r="AE105">
        <v>4.84</v>
      </c>
      <c r="AF105">
        <v>284</v>
      </c>
      <c r="AI105">
        <v>28.2</v>
      </c>
      <c r="AJ105">
        <v>20</v>
      </c>
      <c r="AK105" t="s">
        <v>30</v>
      </c>
      <c r="AL105">
        <v>63005</v>
      </c>
    </row>
    <row r="106" spans="1:38" x14ac:dyDescent="0.25">
      <c r="A106" s="6">
        <v>23011</v>
      </c>
      <c r="B106" s="7">
        <v>45643</v>
      </c>
      <c r="C106" s="6" t="s">
        <v>27</v>
      </c>
      <c r="D106" s="6">
        <v>18</v>
      </c>
      <c r="E106" s="6" t="s">
        <v>30</v>
      </c>
      <c r="F106" s="6">
        <v>63005</v>
      </c>
      <c r="G106" s="6">
        <v>0</v>
      </c>
      <c r="H106" s="6">
        <v>267</v>
      </c>
      <c r="I106" s="6">
        <v>0</v>
      </c>
      <c r="J106" s="6" t="s">
        <v>37</v>
      </c>
      <c r="K106" s="6" t="s">
        <v>57</v>
      </c>
      <c r="L106" s="6">
        <v>76</v>
      </c>
      <c r="M106" s="6">
        <v>89</v>
      </c>
      <c r="N106" s="7">
        <v>45644</v>
      </c>
      <c r="O106" s="7">
        <f t="shared" si="4"/>
        <v>45644</v>
      </c>
      <c r="P106" s="7">
        <f t="shared" si="7"/>
        <v>45657</v>
      </c>
      <c r="Q106" s="7">
        <f t="shared" si="5"/>
        <v>45720</v>
      </c>
      <c r="R106" s="7">
        <f t="shared" si="6"/>
        <v>45733</v>
      </c>
      <c r="S106" t="s">
        <v>33</v>
      </c>
      <c r="T106">
        <v>3</v>
      </c>
      <c r="U106">
        <v>73</v>
      </c>
      <c r="V106">
        <v>1</v>
      </c>
      <c r="W106">
        <v>1.61</v>
      </c>
      <c r="X106">
        <v>52</v>
      </c>
      <c r="Y106">
        <v>200609.5</v>
      </c>
      <c r="Z106" t="b">
        <v>1</v>
      </c>
      <c r="AA106">
        <v>1</v>
      </c>
      <c r="AB106">
        <v>0</v>
      </c>
      <c r="AC106">
        <v>13.9</v>
      </c>
      <c r="AD106">
        <v>1.56</v>
      </c>
      <c r="AE106">
        <v>5.16</v>
      </c>
      <c r="AF106">
        <v>375</v>
      </c>
      <c r="AG106">
        <v>3.8</v>
      </c>
      <c r="AJ106">
        <v>20</v>
      </c>
      <c r="AK106" t="s">
        <v>30</v>
      </c>
      <c r="AL106">
        <v>63005</v>
      </c>
    </row>
    <row r="107" spans="1:38" x14ac:dyDescent="0.25">
      <c r="A107" s="6">
        <v>53002</v>
      </c>
      <c r="B107" s="7">
        <v>45351</v>
      </c>
      <c r="C107" s="6" t="s">
        <v>27</v>
      </c>
      <c r="D107" s="6">
        <v>18</v>
      </c>
      <c r="E107" s="6" t="s">
        <v>30</v>
      </c>
      <c r="F107" s="6">
        <v>63005</v>
      </c>
      <c r="G107" s="6">
        <v>0</v>
      </c>
      <c r="H107" s="6">
        <v>560</v>
      </c>
      <c r="I107" s="6">
        <v>0</v>
      </c>
      <c r="J107" s="6" t="s">
        <v>37</v>
      </c>
      <c r="K107" s="6" t="s">
        <v>57</v>
      </c>
      <c r="L107" s="6">
        <v>76</v>
      </c>
      <c r="M107" s="6">
        <v>89</v>
      </c>
      <c r="N107" s="7">
        <v>45351</v>
      </c>
      <c r="O107" s="7">
        <f t="shared" si="4"/>
        <v>45351</v>
      </c>
      <c r="P107" s="7">
        <f t="shared" si="7"/>
        <v>45364</v>
      </c>
      <c r="Q107" s="7">
        <f t="shared" si="5"/>
        <v>45427</v>
      </c>
      <c r="R107" s="7">
        <f t="shared" si="6"/>
        <v>45440</v>
      </c>
      <c r="S107" t="s">
        <v>33</v>
      </c>
      <c r="T107">
        <v>3</v>
      </c>
      <c r="U107">
        <v>54</v>
      </c>
      <c r="V107">
        <v>1</v>
      </c>
      <c r="W107">
        <v>173</v>
      </c>
      <c r="X107">
        <v>66</v>
      </c>
      <c r="Y107">
        <v>22.1</v>
      </c>
      <c r="Z107" t="b">
        <v>1</v>
      </c>
      <c r="AA107">
        <v>1</v>
      </c>
      <c r="AB107">
        <v>1</v>
      </c>
      <c r="AC107">
        <v>11.8</v>
      </c>
      <c r="AD107">
        <v>1.1200000000000001</v>
      </c>
      <c r="AE107">
        <v>3.98</v>
      </c>
      <c r="AF107">
        <v>512</v>
      </c>
      <c r="AG107">
        <v>38.5</v>
      </c>
      <c r="AI107">
        <v>4.9000000000000004</v>
      </c>
      <c r="AJ107">
        <v>20</v>
      </c>
      <c r="AK107" t="s">
        <v>30</v>
      </c>
      <c r="AL107">
        <v>63005</v>
      </c>
    </row>
    <row r="108" spans="1:38" x14ac:dyDescent="0.25">
      <c r="A108" s="6">
        <v>63001</v>
      </c>
      <c r="B108" s="7">
        <v>45104</v>
      </c>
      <c r="C108" s="6" t="s">
        <v>27</v>
      </c>
      <c r="D108" s="6">
        <v>18</v>
      </c>
      <c r="E108" s="6" t="s">
        <v>30</v>
      </c>
      <c r="F108" s="6">
        <v>63005</v>
      </c>
      <c r="G108" s="6">
        <v>1</v>
      </c>
      <c r="H108" s="6">
        <v>272</v>
      </c>
      <c r="I108" s="6">
        <v>0</v>
      </c>
      <c r="J108" s="6" t="s">
        <v>37</v>
      </c>
      <c r="K108" s="6" t="s">
        <v>57</v>
      </c>
      <c r="L108" s="6">
        <v>76</v>
      </c>
      <c r="M108" s="6">
        <v>89</v>
      </c>
      <c r="N108" s="7">
        <v>45112</v>
      </c>
      <c r="O108" s="7">
        <f t="shared" si="4"/>
        <v>45112</v>
      </c>
      <c r="P108" s="7">
        <f t="shared" si="7"/>
        <v>45125</v>
      </c>
      <c r="Q108" s="7">
        <f t="shared" si="5"/>
        <v>45188</v>
      </c>
      <c r="R108" s="7">
        <f t="shared" si="6"/>
        <v>45201</v>
      </c>
      <c r="S108" t="s">
        <v>33</v>
      </c>
      <c r="T108">
        <v>3</v>
      </c>
      <c r="U108">
        <v>63</v>
      </c>
      <c r="V108">
        <v>1</v>
      </c>
      <c r="W108">
        <v>159</v>
      </c>
      <c r="X108">
        <v>83</v>
      </c>
      <c r="Y108">
        <v>32.799999999999997</v>
      </c>
      <c r="Z108" t="b">
        <v>1</v>
      </c>
      <c r="AA108">
        <v>1</v>
      </c>
      <c r="AB108">
        <v>1</v>
      </c>
      <c r="AC108">
        <v>14.2</v>
      </c>
      <c r="AD108">
        <v>1.6</v>
      </c>
      <c r="AE108">
        <v>7.3</v>
      </c>
      <c r="AF108">
        <v>289</v>
      </c>
      <c r="AJ108">
        <v>20</v>
      </c>
      <c r="AK108" t="s">
        <v>30</v>
      </c>
      <c r="AL108">
        <v>63005</v>
      </c>
    </row>
    <row r="109" spans="1:38" x14ac:dyDescent="0.25">
      <c r="A109" s="6">
        <v>23004</v>
      </c>
      <c r="B109" s="7">
        <v>45197</v>
      </c>
      <c r="C109" s="6" t="s">
        <v>27</v>
      </c>
      <c r="D109" s="6">
        <v>18</v>
      </c>
      <c r="E109" s="6" t="s">
        <v>30</v>
      </c>
      <c r="F109" s="6">
        <v>63005</v>
      </c>
      <c r="G109" s="6">
        <v>1</v>
      </c>
      <c r="H109" s="6">
        <v>605</v>
      </c>
      <c r="I109" s="6">
        <v>0</v>
      </c>
      <c r="J109" s="6" t="s">
        <v>37</v>
      </c>
      <c r="K109" s="6" t="s">
        <v>57</v>
      </c>
      <c r="L109" s="6">
        <v>76</v>
      </c>
      <c r="M109" s="6">
        <v>89</v>
      </c>
      <c r="N109" s="7">
        <v>45198</v>
      </c>
      <c r="O109" s="7">
        <f t="shared" si="4"/>
        <v>45198</v>
      </c>
      <c r="P109" s="7">
        <f t="shared" si="7"/>
        <v>45211</v>
      </c>
      <c r="Q109" s="7">
        <f t="shared" si="5"/>
        <v>45274</v>
      </c>
      <c r="R109" s="7">
        <f t="shared" si="6"/>
        <v>45287</v>
      </c>
      <c r="S109" t="s">
        <v>33</v>
      </c>
      <c r="T109">
        <v>3</v>
      </c>
      <c r="U109">
        <v>60</v>
      </c>
      <c r="V109">
        <v>1</v>
      </c>
      <c r="W109">
        <v>170</v>
      </c>
      <c r="X109">
        <v>54.5</v>
      </c>
      <c r="Y109">
        <v>18.899999999999999</v>
      </c>
      <c r="Z109" t="b">
        <v>1</v>
      </c>
      <c r="AA109">
        <v>1</v>
      </c>
      <c r="AB109">
        <v>0</v>
      </c>
      <c r="AC109">
        <v>13.4</v>
      </c>
      <c r="AD109">
        <v>0.86</v>
      </c>
      <c r="AE109">
        <v>2.94</v>
      </c>
      <c r="AF109">
        <v>273</v>
      </c>
      <c r="AG109">
        <v>4.3</v>
      </c>
      <c r="AI109">
        <v>0.1</v>
      </c>
      <c r="AJ109">
        <v>20</v>
      </c>
      <c r="AK109" t="s">
        <v>30</v>
      </c>
      <c r="AL109">
        <v>63005</v>
      </c>
    </row>
    <row r="110" spans="1:38" s="2" customFormat="1" x14ac:dyDescent="0.25">
      <c r="A110" s="2">
        <v>73009</v>
      </c>
      <c r="B110" s="3">
        <v>45265</v>
      </c>
      <c r="C110" s="2" t="s">
        <v>27</v>
      </c>
      <c r="D110" s="2">
        <v>19</v>
      </c>
      <c r="E110" s="2" t="s">
        <v>29</v>
      </c>
      <c r="F110" s="2">
        <v>73009</v>
      </c>
      <c r="G110" s="2">
        <v>1</v>
      </c>
      <c r="H110" s="2">
        <v>98</v>
      </c>
      <c r="I110" s="2">
        <v>1</v>
      </c>
      <c r="J110" s="2" t="s">
        <v>37</v>
      </c>
      <c r="K110" t="s">
        <v>58</v>
      </c>
      <c r="L110" s="2">
        <v>85</v>
      </c>
      <c r="M110" s="2">
        <v>98</v>
      </c>
      <c r="N110" s="3">
        <v>45329</v>
      </c>
      <c r="O110" s="3">
        <f t="shared" si="4"/>
        <v>45329</v>
      </c>
      <c r="P110" s="3">
        <f t="shared" si="7"/>
        <v>45342</v>
      </c>
      <c r="Q110" s="3">
        <f t="shared" si="5"/>
        <v>45414</v>
      </c>
      <c r="R110" s="3">
        <f t="shared" si="6"/>
        <v>45427</v>
      </c>
      <c r="S110" s="2" t="s">
        <v>33</v>
      </c>
      <c r="T110" s="2">
        <v>3</v>
      </c>
      <c r="U110" s="2">
        <v>48</v>
      </c>
      <c r="V110" s="2">
        <v>1</v>
      </c>
      <c r="W110" s="2">
        <v>162</v>
      </c>
      <c r="X110" s="2">
        <v>54.5</v>
      </c>
      <c r="Y110" s="2">
        <v>20.8</v>
      </c>
      <c r="Z110" s="2" t="b">
        <v>1</v>
      </c>
      <c r="AA110" s="2">
        <v>1</v>
      </c>
      <c r="AB110" s="2">
        <v>0</v>
      </c>
      <c r="AC110" s="2">
        <v>11.5</v>
      </c>
      <c r="AD110" s="2">
        <v>2.36</v>
      </c>
      <c r="AE110" s="2">
        <v>12.69</v>
      </c>
      <c r="AF110" s="2">
        <v>723</v>
      </c>
      <c r="AJ110" s="2">
        <v>21</v>
      </c>
      <c r="AK110" s="2" t="s">
        <v>29</v>
      </c>
      <c r="AL110" s="2">
        <v>73009</v>
      </c>
    </row>
    <row r="111" spans="1:38" x14ac:dyDescent="0.25">
      <c r="A111" s="6">
        <v>73005</v>
      </c>
      <c r="B111" s="7">
        <v>45121</v>
      </c>
      <c r="C111" s="6" t="s">
        <v>31</v>
      </c>
      <c r="D111" s="6">
        <v>19</v>
      </c>
      <c r="E111" s="6" t="s">
        <v>30</v>
      </c>
      <c r="F111" s="6">
        <v>73009</v>
      </c>
      <c r="G111" s="6">
        <v>1</v>
      </c>
      <c r="H111" s="6">
        <v>445</v>
      </c>
      <c r="I111" s="6">
        <v>0</v>
      </c>
      <c r="J111" s="6" t="s">
        <v>37</v>
      </c>
      <c r="K111" s="6" t="s">
        <v>58</v>
      </c>
      <c r="L111" s="6">
        <v>85</v>
      </c>
      <c r="M111" s="6">
        <v>98</v>
      </c>
      <c r="N111" s="7">
        <v>45126</v>
      </c>
      <c r="O111" s="7">
        <f t="shared" si="4"/>
        <v>45126</v>
      </c>
      <c r="P111" s="7">
        <f t="shared" si="7"/>
        <v>45139</v>
      </c>
      <c r="Q111" s="7">
        <f t="shared" si="5"/>
        <v>45211</v>
      </c>
      <c r="R111" s="7">
        <f t="shared" si="6"/>
        <v>45224</v>
      </c>
      <c r="S111" t="s">
        <v>33</v>
      </c>
      <c r="T111">
        <v>3</v>
      </c>
      <c r="U111">
        <v>52</v>
      </c>
      <c r="V111">
        <v>1</v>
      </c>
      <c r="W111">
        <v>168</v>
      </c>
      <c r="X111">
        <v>79</v>
      </c>
      <c r="Y111">
        <v>28</v>
      </c>
      <c r="Z111" t="b">
        <v>0</v>
      </c>
      <c r="AA111">
        <v>0</v>
      </c>
      <c r="AB111">
        <v>1</v>
      </c>
      <c r="AC111">
        <v>11.6</v>
      </c>
      <c r="AD111">
        <v>1.46</v>
      </c>
      <c r="AE111">
        <v>5.01</v>
      </c>
      <c r="AF111">
        <v>414</v>
      </c>
      <c r="AI111">
        <v>15.5</v>
      </c>
      <c r="AJ111">
        <v>21</v>
      </c>
      <c r="AK111" t="s">
        <v>30</v>
      </c>
      <c r="AL111">
        <v>73009</v>
      </c>
    </row>
    <row r="112" spans="1:38" x14ac:dyDescent="0.25">
      <c r="A112" s="6">
        <v>73001</v>
      </c>
      <c r="B112" s="7">
        <v>45040</v>
      </c>
      <c r="C112" s="6" t="s">
        <v>27</v>
      </c>
      <c r="D112" s="6">
        <v>19</v>
      </c>
      <c r="E112" s="6" t="s">
        <v>30</v>
      </c>
      <c r="F112" s="6">
        <v>73009</v>
      </c>
      <c r="G112" s="6">
        <v>1</v>
      </c>
      <c r="H112" s="6">
        <v>241</v>
      </c>
      <c r="I112" s="6">
        <v>0</v>
      </c>
      <c r="J112" s="6" t="s">
        <v>37</v>
      </c>
      <c r="K112" s="6" t="s">
        <v>58</v>
      </c>
      <c r="L112" s="6">
        <v>85</v>
      </c>
      <c r="M112" s="6">
        <v>98</v>
      </c>
      <c r="N112" s="7">
        <v>45040</v>
      </c>
      <c r="O112" s="7">
        <f t="shared" si="4"/>
        <v>45040</v>
      </c>
      <c r="P112" s="7">
        <f t="shared" si="7"/>
        <v>45053</v>
      </c>
      <c r="Q112" s="7">
        <f t="shared" si="5"/>
        <v>45125</v>
      </c>
      <c r="R112" s="7">
        <f t="shared" si="6"/>
        <v>45138</v>
      </c>
      <c r="S112" t="s">
        <v>33</v>
      </c>
      <c r="T112">
        <v>3</v>
      </c>
      <c r="U112">
        <v>70</v>
      </c>
      <c r="V112">
        <v>1</v>
      </c>
      <c r="W112">
        <v>159</v>
      </c>
      <c r="X112">
        <v>69.7</v>
      </c>
      <c r="Y112">
        <v>27.6</v>
      </c>
      <c r="Z112" t="b">
        <v>1</v>
      </c>
      <c r="AA112">
        <v>1</v>
      </c>
      <c r="AB112">
        <v>1</v>
      </c>
      <c r="AC112">
        <v>11.5</v>
      </c>
      <c r="AD112">
        <v>1.62</v>
      </c>
      <c r="AE112">
        <v>2.95</v>
      </c>
      <c r="AF112">
        <v>251</v>
      </c>
      <c r="AI112">
        <v>12.9</v>
      </c>
      <c r="AJ112">
        <v>21</v>
      </c>
      <c r="AK112" t="s">
        <v>30</v>
      </c>
      <c r="AL112">
        <v>73009</v>
      </c>
    </row>
    <row r="113" spans="1:38" x14ac:dyDescent="0.25">
      <c r="A113" s="6">
        <v>23004</v>
      </c>
      <c r="B113" s="7">
        <v>45197</v>
      </c>
      <c r="C113" s="6" t="s">
        <v>27</v>
      </c>
      <c r="D113" s="6">
        <v>19</v>
      </c>
      <c r="E113" s="6" t="s">
        <v>30</v>
      </c>
      <c r="F113" s="6">
        <v>73009</v>
      </c>
      <c r="G113" s="6">
        <v>1</v>
      </c>
      <c r="H113" s="6">
        <v>605</v>
      </c>
      <c r="I113" s="6">
        <v>0</v>
      </c>
      <c r="J113" s="6" t="s">
        <v>37</v>
      </c>
      <c r="K113" s="6" t="s">
        <v>58</v>
      </c>
      <c r="L113" s="6">
        <v>85</v>
      </c>
      <c r="M113" s="6">
        <v>98</v>
      </c>
      <c r="N113" s="7">
        <v>45198</v>
      </c>
      <c r="O113" s="7">
        <f t="shared" si="4"/>
        <v>45198</v>
      </c>
      <c r="P113" s="7">
        <f t="shared" si="7"/>
        <v>45211</v>
      </c>
      <c r="Q113" s="7">
        <f t="shared" si="5"/>
        <v>45283</v>
      </c>
      <c r="R113" s="7">
        <f t="shared" si="6"/>
        <v>45296</v>
      </c>
      <c r="S113" t="s">
        <v>33</v>
      </c>
      <c r="T113">
        <v>3</v>
      </c>
      <c r="U113">
        <v>60</v>
      </c>
      <c r="V113">
        <v>1</v>
      </c>
      <c r="W113">
        <v>170</v>
      </c>
      <c r="X113">
        <v>54.5</v>
      </c>
      <c r="Y113">
        <v>18.899999999999999</v>
      </c>
      <c r="Z113" t="b">
        <v>1</v>
      </c>
      <c r="AA113">
        <v>1</v>
      </c>
      <c r="AB113">
        <v>0</v>
      </c>
      <c r="AC113">
        <v>13.4</v>
      </c>
      <c r="AD113">
        <v>0.86</v>
      </c>
      <c r="AE113">
        <v>2.94</v>
      </c>
      <c r="AF113">
        <v>273</v>
      </c>
      <c r="AG113">
        <v>4.3</v>
      </c>
      <c r="AI113">
        <v>0.1</v>
      </c>
      <c r="AJ113">
        <v>21</v>
      </c>
      <c r="AK113" t="s">
        <v>30</v>
      </c>
      <c r="AL113">
        <v>73009</v>
      </c>
    </row>
    <row r="114" spans="1:38" x14ac:dyDescent="0.25">
      <c r="A114" s="6">
        <v>73007</v>
      </c>
      <c r="B114" s="7">
        <v>45212</v>
      </c>
      <c r="C114" s="6" t="s">
        <v>27</v>
      </c>
      <c r="D114" s="6">
        <v>19</v>
      </c>
      <c r="E114" s="6" t="s">
        <v>30</v>
      </c>
      <c r="F114" s="6">
        <v>73009</v>
      </c>
      <c r="G114" s="6">
        <v>1</v>
      </c>
      <c r="H114" s="6">
        <v>734</v>
      </c>
      <c r="I114" s="6">
        <v>0</v>
      </c>
      <c r="J114" s="6" t="s">
        <v>37</v>
      </c>
      <c r="K114" s="6" t="s">
        <v>58</v>
      </c>
      <c r="L114" s="6">
        <v>85</v>
      </c>
      <c r="M114" s="6">
        <v>98</v>
      </c>
      <c r="N114" s="7">
        <v>45218</v>
      </c>
      <c r="O114" s="7">
        <f t="shared" si="4"/>
        <v>45218</v>
      </c>
      <c r="P114" s="7">
        <f t="shared" si="7"/>
        <v>45231</v>
      </c>
      <c r="Q114" s="7">
        <f t="shared" si="5"/>
        <v>45303</v>
      </c>
      <c r="R114" s="7">
        <f t="shared" si="6"/>
        <v>45316</v>
      </c>
      <c r="S114" t="s">
        <v>33</v>
      </c>
      <c r="T114">
        <v>3</v>
      </c>
      <c r="U114">
        <v>69</v>
      </c>
      <c r="V114">
        <v>1</v>
      </c>
      <c r="W114">
        <v>149</v>
      </c>
      <c r="X114">
        <v>59.4</v>
      </c>
      <c r="Y114">
        <v>26.8</v>
      </c>
      <c r="Z114" t="b">
        <v>1</v>
      </c>
      <c r="AA114">
        <v>1</v>
      </c>
      <c r="AB114">
        <v>1</v>
      </c>
      <c r="AC114">
        <v>13.1</v>
      </c>
      <c r="AD114">
        <v>0.96</v>
      </c>
      <c r="AE114">
        <v>5.24</v>
      </c>
      <c r="AF114">
        <v>281</v>
      </c>
      <c r="AI114">
        <v>7.1</v>
      </c>
      <c r="AJ114">
        <v>21</v>
      </c>
      <c r="AK114" t="s">
        <v>30</v>
      </c>
      <c r="AL114">
        <v>73009</v>
      </c>
    </row>
    <row r="115" spans="1:38" x14ac:dyDescent="0.25">
      <c r="A115" s="6">
        <v>23012</v>
      </c>
      <c r="B115" s="7">
        <v>45713</v>
      </c>
      <c r="C115" s="6" t="s">
        <v>27</v>
      </c>
      <c r="D115" s="6">
        <v>19</v>
      </c>
      <c r="E115" s="6" t="s">
        <v>30</v>
      </c>
      <c r="F115" s="6">
        <v>73009</v>
      </c>
      <c r="G115" s="6">
        <v>0</v>
      </c>
      <c r="H115" s="6">
        <v>196</v>
      </c>
      <c r="I115" s="6">
        <v>0</v>
      </c>
      <c r="J115" s="6" t="s">
        <v>37</v>
      </c>
      <c r="K115" s="6" t="s">
        <v>58</v>
      </c>
      <c r="L115" s="6">
        <v>85</v>
      </c>
      <c r="M115" s="6">
        <v>98</v>
      </c>
      <c r="N115" s="7">
        <v>45715</v>
      </c>
      <c r="O115" s="7">
        <f t="shared" si="4"/>
        <v>45715</v>
      </c>
      <c r="P115" s="7">
        <f t="shared" si="7"/>
        <v>45728</v>
      </c>
      <c r="Q115" s="7">
        <f t="shared" si="5"/>
        <v>45800</v>
      </c>
      <c r="R115" s="7">
        <f t="shared" si="6"/>
        <v>45813</v>
      </c>
      <c r="S115" t="s">
        <v>33</v>
      </c>
      <c r="T115">
        <v>3</v>
      </c>
      <c r="U115">
        <v>69</v>
      </c>
      <c r="V115">
        <v>1</v>
      </c>
      <c r="W115">
        <v>156</v>
      </c>
      <c r="X115">
        <v>43</v>
      </c>
      <c r="Y115">
        <v>17.7</v>
      </c>
      <c r="Z115" t="b">
        <v>0</v>
      </c>
      <c r="AA115">
        <v>0</v>
      </c>
      <c r="AC115">
        <v>15.9</v>
      </c>
      <c r="AD115">
        <v>1.58</v>
      </c>
      <c r="AE115">
        <v>2.78</v>
      </c>
      <c r="AF115">
        <v>230</v>
      </c>
      <c r="AG115">
        <v>4.5999999999999996</v>
      </c>
      <c r="AI115">
        <v>0.1</v>
      </c>
      <c r="AJ115">
        <v>21</v>
      </c>
      <c r="AK115" t="s">
        <v>30</v>
      </c>
      <c r="AL115">
        <v>73009</v>
      </c>
    </row>
    <row r="116" spans="1:38" s="2" customFormat="1" x14ac:dyDescent="0.25">
      <c r="A116" s="2">
        <v>73006</v>
      </c>
      <c r="B116" s="3">
        <v>45188</v>
      </c>
      <c r="C116" s="2" t="s">
        <v>27</v>
      </c>
      <c r="D116" s="2">
        <v>20</v>
      </c>
      <c r="E116" s="2" t="s">
        <v>29</v>
      </c>
      <c r="F116" s="2">
        <v>73006</v>
      </c>
      <c r="G116" s="2">
        <v>1</v>
      </c>
      <c r="H116" s="2">
        <v>107</v>
      </c>
      <c r="I116" s="2">
        <v>1</v>
      </c>
      <c r="J116" s="2" t="s">
        <v>37</v>
      </c>
      <c r="K116" t="s">
        <v>59</v>
      </c>
      <c r="L116" s="2">
        <v>94</v>
      </c>
      <c r="M116" s="2">
        <v>107</v>
      </c>
      <c r="N116" s="3">
        <v>45188</v>
      </c>
      <c r="O116" s="3">
        <f t="shared" si="4"/>
        <v>45188</v>
      </c>
      <c r="P116" s="3">
        <f t="shared" si="7"/>
        <v>45201</v>
      </c>
      <c r="Q116" s="3">
        <f t="shared" si="5"/>
        <v>45282</v>
      </c>
      <c r="R116" s="3">
        <f t="shared" si="6"/>
        <v>45295</v>
      </c>
      <c r="S116" s="2" t="s">
        <v>33</v>
      </c>
      <c r="T116" s="2">
        <v>3</v>
      </c>
      <c r="U116" s="2">
        <v>74</v>
      </c>
      <c r="V116" s="2">
        <v>2</v>
      </c>
      <c r="W116" s="2">
        <v>140</v>
      </c>
      <c r="X116" s="2">
        <v>52</v>
      </c>
      <c r="Y116" s="2">
        <v>26.5</v>
      </c>
      <c r="Z116" s="2" t="b">
        <v>1</v>
      </c>
      <c r="AA116" s="2">
        <v>1</v>
      </c>
      <c r="AB116" s="2">
        <v>1</v>
      </c>
      <c r="AC116" s="2">
        <v>11</v>
      </c>
      <c r="AD116" s="2">
        <v>0.97</v>
      </c>
      <c r="AE116" s="2">
        <v>24.62</v>
      </c>
      <c r="AF116" s="2">
        <v>485</v>
      </c>
      <c r="AI116" s="2">
        <v>90.6</v>
      </c>
      <c r="AJ116" s="2">
        <v>22</v>
      </c>
      <c r="AK116" s="2" t="s">
        <v>29</v>
      </c>
      <c r="AL116" s="2">
        <v>73006</v>
      </c>
    </row>
    <row r="117" spans="1:38" x14ac:dyDescent="0.25">
      <c r="A117" s="6">
        <v>23004</v>
      </c>
      <c r="B117" s="7">
        <v>45197</v>
      </c>
      <c r="C117" s="6" t="s">
        <v>27</v>
      </c>
      <c r="D117" s="6">
        <v>20</v>
      </c>
      <c r="E117" s="6" t="s">
        <v>30</v>
      </c>
      <c r="F117" s="6">
        <v>73006</v>
      </c>
      <c r="G117" s="6">
        <v>1</v>
      </c>
      <c r="H117" s="6">
        <v>605</v>
      </c>
      <c r="I117" s="6">
        <v>0</v>
      </c>
      <c r="J117" s="6" t="s">
        <v>37</v>
      </c>
      <c r="K117" s="6" t="s">
        <v>59</v>
      </c>
      <c r="L117" s="6">
        <v>94</v>
      </c>
      <c r="M117" s="6">
        <v>107</v>
      </c>
      <c r="N117" s="7">
        <v>45198</v>
      </c>
      <c r="O117" s="7">
        <f t="shared" si="4"/>
        <v>45198</v>
      </c>
      <c r="P117" s="7">
        <f t="shared" si="7"/>
        <v>45211</v>
      </c>
      <c r="Q117" s="7">
        <f t="shared" si="5"/>
        <v>45292</v>
      </c>
      <c r="R117" s="7">
        <f t="shared" si="6"/>
        <v>45305</v>
      </c>
      <c r="S117" t="s">
        <v>33</v>
      </c>
      <c r="T117">
        <v>3</v>
      </c>
      <c r="U117">
        <v>60</v>
      </c>
      <c r="V117">
        <v>1</v>
      </c>
      <c r="W117">
        <v>170</v>
      </c>
      <c r="X117">
        <v>54.5</v>
      </c>
      <c r="Y117">
        <v>18.899999999999999</v>
      </c>
      <c r="Z117" t="b">
        <v>1</v>
      </c>
      <c r="AA117">
        <v>1</v>
      </c>
      <c r="AB117">
        <v>0</v>
      </c>
      <c r="AC117">
        <v>13.4</v>
      </c>
      <c r="AD117">
        <v>0.86</v>
      </c>
      <c r="AE117">
        <v>2.94</v>
      </c>
      <c r="AF117">
        <v>273</v>
      </c>
      <c r="AG117">
        <v>4.3</v>
      </c>
      <c r="AI117">
        <v>0.1</v>
      </c>
      <c r="AJ117">
        <v>22</v>
      </c>
      <c r="AK117" t="s">
        <v>30</v>
      </c>
      <c r="AL117">
        <v>73006</v>
      </c>
    </row>
    <row r="118" spans="1:38" x14ac:dyDescent="0.25">
      <c r="A118" s="6">
        <v>63004</v>
      </c>
      <c r="B118" s="7">
        <v>45630</v>
      </c>
      <c r="C118" s="6" t="s">
        <v>27</v>
      </c>
      <c r="D118" s="6">
        <v>20</v>
      </c>
      <c r="E118" s="6" t="s">
        <v>30</v>
      </c>
      <c r="F118" s="6">
        <v>73006</v>
      </c>
      <c r="G118" s="6">
        <v>0</v>
      </c>
      <c r="H118" s="6">
        <v>280</v>
      </c>
      <c r="I118" s="6">
        <v>0</v>
      </c>
      <c r="J118" s="6" t="s">
        <v>37</v>
      </c>
      <c r="K118" s="6" t="s">
        <v>59</v>
      </c>
      <c r="L118" s="6">
        <v>94</v>
      </c>
      <c r="M118" s="6">
        <v>107</v>
      </c>
      <c r="N118" s="7">
        <v>45631</v>
      </c>
      <c r="O118" s="7">
        <f t="shared" si="4"/>
        <v>45631</v>
      </c>
      <c r="P118" s="7">
        <f t="shared" si="7"/>
        <v>45644</v>
      </c>
      <c r="Q118" s="7">
        <f t="shared" si="5"/>
        <v>45725</v>
      </c>
      <c r="R118" s="7">
        <f t="shared" si="6"/>
        <v>45738</v>
      </c>
      <c r="S118" t="s">
        <v>33</v>
      </c>
      <c r="T118">
        <v>3</v>
      </c>
      <c r="U118">
        <v>69</v>
      </c>
      <c r="V118">
        <v>1</v>
      </c>
      <c r="W118">
        <v>153</v>
      </c>
      <c r="X118">
        <v>64.5</v>
      </c>
      <c r="Y118">
        <v>27.6</v>
      </c>
      <c r="Z118" t="b">
        <v>1</v>
      </c>
      <c r="AA118">
        <v>1</v>
      </c>
      <c r="AB118">
        <v>1</v>
      </c>
      <c r="AJ118">
        <v>22</v>
      </c>
      <c r="AK118" t="s">
        <v>30</v>
      </c>
      <c r="AL118">
        <v>73006</v>
      </c>
    </row>
    <row r="119" spans="1:38" x14ac:dyDescent="0.25">
      <c r="A119" s="6">
        <v>13004</v>
      </c>
      <c r="B119" s="7">
        <v>45222</v>
      </c>
      <c r="C119" s="6" t="s">
        <v>27</v>
      </c>
      <c r="D119" s="6">
        <v>20</v>
      </c>
      <c r="E119" s="6" t="s">
        <v>30</v>
      </c>
      <c r="F119" s="6">
        <v>73006</v>
      </c>
      <c r="G119" s="6">
        <v>0</v>
      </c>
      <c r="H119" s="6">
        <v>689</v>
      </c>
      <c r="I119" s="6">
        <v>0</v>
      </c>
      <c r="J119" s="6" t="s">
        <v>37</v>
      </c>
      <c r="K119" s="6" t="s">
        <v>59</v>
      </c>
      <c r="L119" s="6">
        <v>94</v>
      </c>
      <c r="M119" s="6">
        <v>107</v>
      </c>
      <c r="N119" s="7">
        <v>45222</v>
      </c>
      <c r="O119" s="7">
        <f t="shared" si="4"/>
        <v>45222</v>
      </c>
      <c r="P119" s="7">
        <f t="shared" si="7"/>
        <v>45235</v>
      </c>
      <c r="Q119" s="7">
        <f t="shared" si="5"/>
        <v>45316</v>
      </c>
      <c r="R119" s="7">
        <f t="shared" si="6"/>
        <v>45329</v>
      </c>
      <c r="S119" t="s">
        <v>33</v>
      </c>
      <c r="T119">
        <v>3</v>
      </c>
      <c r="U119">
        <v>64</v>
      </c>
      <c r="V119">
        <v>1</v>
      </c>
      <c r="W119">
        <v>155</v>
      </c>
      <c r="X119">
        <v>75</v>
      </c>
      <c r="Y119">
        <v>31.2</v>
      </c>
      <c r="Z119" t="b">
        <v>1</v>
      </c>
      <c r="AA119">
        <v>1</v>
      </c>
      <c r="AB119">
        <v>1</v>
      </c>
      <c r="AC119">
        <v>12.4</v>
      </c>
      <c r="AD119">
        <v>3.22</v>
      </c>
      <c r="AE119">
        <v>4.16</v>
      </c>
      <c r="AF119">
        <v>180</v>
      </c>
      <c r="AG119">
        <v>4.0599999999999996</v>
      </c>
      <c r="AJ119">
        <v>22</v>
      </c>
      <c r="AK119" t="s">
        <v>30</v>
      </c>
      <c r="AL119">
        <v>73006</v>
      </c>
    </row>
    <row r="120" spans="1:38" x14ac:dyDescent="0.25">
      <c r="A120" s="6">
        <v>53002</v>
      </c>
      <c r="B120" s="7">
        <v>45351</v>
      </c>
      <c r="C120" s="6" t="s">
        <v>27</v>
      </c>
      <c r="D120" s="6">
        <v>20</v>
      </c>
      <c r="E120" s="6" t="s">
        <v>30</v>
      </c>
      <c r="F120" s="6">
        <v>73006</v>
      </c>
      <c r="G120" s="6">
        <v>0</v>
      </c>
      <c r="H120" s="6">
        <v>560</v>
      </c>
      <c r="I120" s="6">
        <v>0</v>
      </c>
      <c r="J120" s="6" t="s">
        <v>37</v>
      </c>
      <c r="K120" s="6" t="s">
        <v>59</v>
      </c>
      <c r="L120" s="6">
        <v>94</v>
      </c>
      <c r="M120" s="6">
        <v>107</v>
      </c>
      <c r="N120" s="7">
        <v>45351</v>
      </c>
      <c r="O120" s="7">
        <f t="shared" si="4"/>
        <v>45351</v>
      </c>
      <c r="P120" s="7">
        <f t="shared" si="7"/>
        <v>45364</v>
      </c>
      <c r="Q120" s="7">
        <f t="shared" si="5"/>
        <v>45445</v>
      </c>
      <c r="R120" s="7">
        <f t="shared" si="6"/>
        <v>45458</v>
      </c>
      <c r="S120" t="s">
        <v>33</v>
      </c>
      <c r="T120">
        <v>3</v>
      </c>
      <c r="U120">
        <v>54</v>
      </c>
      <c r="V120">
        <v>1</v>
      </c>
      <c r="W120">
        <v>173</v>
      </c>
      <c r="X120">
        <v>66</v>
      </c>
      <c r="Y120">
        <v>22.1</v>
      </c>
      <c r="Z120" t="b">
        <v>1</v>
      </c>
      <c r="AA120">
        <v>1</v>
      </c>
      <c r="AB120">
        <v>1</v>
      </c>
      <c r="AC120">
        <v>11.8</v>
      </c>
      <c r="AD120">
        <v>1.1200000000000001</v>
      </c>
      <c r="AE120">
        <v>3.98</v>
      </c>
      <c r="AF120">
        <v>512</v>
      </c>
      <c r="AG120">
        <v>38.5</v>
      </c>
      <c r="AI120">
        <v>4.9000000000000004</v>
      </c>
      <c r="AJ120">
        <v>22</v>
      </c>
      <c r="AK120" t="s">
        <v>30</v>
      </c>
      <c r="AL120">
        <v>73006</v>
      </c>
    </row>
    <row r="121" spans="1:38" x14ac:dyDescent="0.25">
      <c r="A121" s="6">
        <v>23008</v>
      </c>
      <c r="B121" s="7">
        <v>45420</v>
      </c>
      <c r="C121" s="6" t="s">
        <v>27</v>
      </c>
      <c r="D121" s="6">
        <v>20</v>
      </c>
      <c r="E121" s="6" t="s">
        <v>30</v>
      </c>
      <c r="F121" s="6">
        <v>73006</v>
      </c>
      <c r="G121" s="6">
        <v>0</v>
      </c>
      <c r="H121" s="6">
        <v>483</v>
      </c>
      <c r="I121" s="6">
        <v>0</v>
      </c>
      <c r="J121" s="6" t="s">
        <v>37</v>
      </c>
      <c r="K121" s="6" t="s">
        <v>59</v>
      </c>
      <c r="L121" s="6">
        <v>94</v>
      </c>
      <c r="M121" s="6">
        <v>107</v>
      </c>
      <c r="N121" s="7">
        <v>45428</v>
      </c>
      <c r="O121" s="7">
        <f t="shared" si="4"/>
        <v>45428</v>
      </c>
      <c r="P121" s="7">
        <f t="shared" si="7"/>
        <v>45441</v>
      </c>
      <c r="Q121" s="7">
        <f t="shared" si="5"/>
        <v>45522</v>
      </c>
      <c r="R121" s="7">
        <f t="shared" si="6"/>
        <v>45535</v>
      </c>
      <c r="S121" t="s">
        <v>33</v>
      </c>
      <c r="T121">
        <v>3</v>
      </c>
      <c r="U121">
        <v>61</v>
      </c>
      <c r="V121">
        <v>2</v>
      </c>
      <c r="X121">
        <v>60.7</v>
      </c>
      <c r="Z121" t="b">
        <v>0</v>
      </c>
      <c r="AA121">
        <v>0</v>
      </c>
      <c r="AB121">
        <v>1</v>
      </c>
      <c r="AC121">
        <v>14.9</v>
      </c>
      <c r="AD121">
        <v>1.7</v>
      </c>
      <c r="AE121">
        <v>31.75</v>
      </c>
      <c r="AF121">
        <v>302</v>
      </c>
      <c r="AG121">
        <v>3.7</v>
      </c>
      <c r="AJ121">
        <v>22</v>
      </c>
      <c r="AK121" t="s">
        <v>30</v>
      </c>
      <c r="AL121">
        <v>73006</v>
      </c>
    </row>
    <row r="122" spans="1:38" s="2" customFormat="1" x14ac:dyDescent="0.25">
      <c r="A122" s="2">
        <v>63003</v>
      </c>
      <c r="B122" s="3">
        <v>45569</v>
      </c>
      <c r="C122" s="2" t="s">
        <v>27</v>
      </c>
      <c r="D122" s="2">
        <v>21</v>
      </c>
      <c r="E122" s="2" t="s">
        <v>29</v>
      </c>
      <c r="F122" s="2">
        <v>63003</v>
      </c>
      <c r="G122" s="2">
        <v>1</v>
      </c>
      <c r="H122" s="2">
        <v>139</v>
      </c>
      <c r="I122" s="2">
        <v>1</v>
      </c>
      <c r="J122" s="2" t="s">
        <v>37</v>
      </c>
      <c r="K122" t="s">
        <v>60</v>
      </c>
      <c r="L122" s="2">
        <v>126</v>
      </c>
      <c r="M122" s="2">
        <v>139</v>
      </c>
      <c r="N122" s="3">
        <v>45569</v>
      </c>
      <c r="O122" s="3">
        <f t="shared" si="4"/>
        <v>45569</v>
      </c>
      <c r="P122" s="3">
        <f t="shared" si="7"/>
        <v>45582</v>
      </c>
      <c r="Q122" s="3">
        <f t="shared" si="5"/>
        <v>45695</v>
      </c>
      <c r="R122" s="3">
        <f t="shared" si="6"/>
        <v>45708</v>
      </c>
      <c r="S122" s="2" t="s">
        <v>33</v>
      </c>
      <c r="T122" s="2">
        <v>3</v>
      </c>
      <c r="U122" s="2">
        <v>66</v>
      </c>
      <c r="V122" s="2">
        <v>1</v>
      </c>
      <c r="W122" s="2">
        <v>163</v>
      </c>
      <c r="X122" s="2">
        <v>72.099999999999994</v>
      </c>
      <c r="Y122" s="2">
        <v>27.1</v>
      </c>
      <c r="Z122" s="2" t="b">
        <v>1</v>
      </c>
      <c r="AA122" s="2">
        <v>1</v>
      </c>
      <c r="AB122" s="2">
        <v>0</v>
      </c>
      <c r="AC122" s="2">
        <v>11</v>
      </c>
      <c r="AD122" s="2">
        <v>1.9</v>
      </c>
      <c r="AE122" s="2">
        <v>11.4</v>
      </c>
      <c r="AF122" s="2">
        <v>530</v>
      </c>
      <c r="AG122" s="2">
        <v>38</v>
      </c>
      <c r="AI122" s="2">
        <v>94.4</v>
      </c>
      <c r="AJ122" s="2">
        <v>23</v>
      </c>
      <c r="AK122" s="2" t="s">
        <v>29</v>
      </c>
      <c r="AL122" s="2">
        <v>63003</v>
      </c>
    </row>
    <row r="123" spans="1:38" x14ac:dyDescent="0.25">
      <c r="A123" s="6">
        <v>23007</v>
      </c>
      <c r="B123" s="7">
        <v>45387</v>
      </c>
      <c r="C123" s="6" t="s">
        <v>27</v>
      </c>
      <c r="D123" s="6">
        <v>21</v>
      </c>
      <c r="E123" s="6" t="s">
        <v>30</v>
      </c>
      <c r="F123" s="6">
        <v>63003</v>
      </c>
      <c r="G123" s="6">
        <v>0</v>
      </c>
      <c r="H123" s="6">
        <v>521</v>
      </c>
      <c r="I123" s="6">
        <v>0</v>
      </c>
      <c r="J123" s="6" t="s">
        <v>37</v>
      </c>
      <c r="K123" s="6" t="s">
        <v>60</v>
      </c>
      <c r="L123" s="6">
        <v>126</v>
      </c>
      <c r="M123" s="6">
        <v>139</v>
      </c>
      <c r="N123" s="7">
        <v>45390</v>
      </c>
      <c r="O123" s="7">
        <f t="shared" si="4"/>
        <v>45390</v>
      </c>
      <c r="P123" s="7">
        <f t="shared" si="7"/>
        <v>45403</v>
      </c>
      <c r="Q123" s="7">
        <f t="shared" si="5"/>
        <v>45516</v>
      </c>
      <c r="R123" s="7">
        <f t="shared" si="6"/>
        <v>45529</v>
      </c>
      <c r="S123" t="s">
        <v>33</v>
      </c>
      <c r="T123">
        <v>3</v>
      </c>
      <c r="U123">
        <v>70</v>
      </c>
      <c r="V123">
        <v>1</v>
      </c>
      <c r="X123">
        <v>76</v>
      </c>
      <c r="Z123" t="b">
        <v>0</v>
      </c>
      <c r="AA123">
        <v>0</v>
      </c>
      <c r="AB123">
        <v>1</v>
      </c>
      <c r="AC123">
        <v>13.3</v>
      </c>
      <c r="AD123">
        <v>2.2400000000000002</v>
      </c>
      <c r="AE123">
        <v>3.41</v>
      </c>
      <c r="AF123">
        <v>223</v>
      </c>
      <c r="AG123">
        <v>4.2</v>
      </c>
      <c r="AI123">
        <v>1.5</v>
      </c>
      <c r="AJ123">
        <v>23</v>
      </c>
      <c r="AK123" t="s">
        <v>30</v>
      </c>
      <c r="AL123">
        <v>63003</v>
      </c>
    </row>
    <row r="124" spans="1:38" x14ac:dyDescent="0.25">
      <c r="A124" s="6">
        <v>73007</v>
      </c>
      <c r="B124" s="7">
        <v>45212</v>
      </c>
      <c r="C124" s="6" t="s">
        <v>27</v>
      </c>
      <c r="D124" s="6">
        <v>21</v>
      </c>
      <c r="E124" s="6" t="s">
        <v>30</v>
      </c>
      <c r="F124" s="6">
        <v>63003</v>
      </c>
      <c r="G124" s="6">
        <v>1</v>
      </c>
      <c r="H124" s="6">
        <v>734</v>
      </c>
      <c r="I124" s="6">
        <v>0</v>
      </c>
      <c r="J124" s="6" t="s">
        <v>37</v>
      </c>
      <c r="K124" s="6" t="s">
        <v>60</v>
      </c>
      <c r="L124" s="6">
        <v>126</v>
      </c>
      <c r="M124" s="6">
        <v>139</v>
      </c>
      <c r="N124" s="7">
        <v>45218</v>
      </c>
      <c r="O124" s="7">
        <f t="shared" si="4"/>
        <v>45218</v>
      </c>
      <c r="P124" s="7">
        <f t="shared" si="7"/>
        <v>45231</v>
      </c>
      <c r="Q124" s="7">
        <f t="shared" si="5"/>
        <v>45344</v>
      </c>
      <c r="R124" s="7">
        <f t="shared" si="6"/>
        <v>45357</v>
      </c>
      <c r="S124" t="s">
        <v>33</v>
      </c>
      <c r="T124">
        <v>3</v>
      </c>
      <c r="U124">
        <v>69</v>
      </c>
      <c r="V124">
        <v>1</v>
      </c>
      <c r="W124">
        <v>149</v>
      </c>
      <c r="X124">
        <v>59.4</v>
      </c>
      <c r="Y124">
        <v>26.8</v>
      </c>
      <c r="Z124" t="b">
        <v>1</v>
      </c>
      <c r="AA124">
        <v>1</v>
      </c>
      <c r="AB124">
        <v>1</v>
      </c>
      <c r="AC124">
        <v>13.1</v>
      </c>
      <c r="AD124">
        <v>0.96</v>
      </c>
      <c r="AE124">
        <v>5.24</v>
      </c>
      <c r="AF124">
        <v>281</v>
      </c>
      <c r="AI124">
        <v>7.1</v>
      </c>
      <c r="AJ124">
        <v>23</v>
      </c>
      <c r="AK124" t="s">
        <v>30</v>
      </c>
      <c r="AL124">
        <v>63003</v>
      </c>
    </row>
    <row r="125" spans="1:38" x14ac:dyDescent="0.25">
      <c r="A125" s="6">
        <v>23006</v>
      </c>
      <c r="B125" s="7">
        <v>45385</v>
      </c>
      <c r="C125" s="6" t="s">
        <v>27</v>
      </c>
      <c r="D125" s="6">
        <v>21</v>
      </c>
      <c r="E125" s="6" t="s">
        <v>30</v>
      </c>
      <c r="F125" s="6">
        <v>63003</v>
      </c>
      <c r="G125" s="6">
        <v>1</v>
      </c>
      <c r="H125" s="6">
        <v>241</v>
      </c>
      <c r="I125" s="6">
        <v>0</v>
      </c>
      <c r="J125" s="6" t="s">
        <v>37</v>
      </c>
      <c r="K125" s="6" t="s">
        <v>60</v>
      </c>
      <c r="L125" s="6">
        <v>126</v>
      </c>
      <c r="M125" s="6">
        <v>139</v>
      </c>
      <c r="N125" s="7">
        <v>45390</v>
      </c>
      <c r="O125" s="7">
        <f t="shared" si="4"/>
        <v>45390</v>
      </c>
      <c r="P125" s="7">
        <f t="shared" si="7"/>
        <v>45403</v>
      </c>
      <c r="Q125" s="7">
        <f t="shared" si="5"/>
        <v>45516</v>
      </c>
      <c r="R125" s="7">
        <f t="shared" si="6"/>
        <v>45529</v>
      </c>
      <c r="S125" t="s">
        <v>33</v>
      </c>
      <c r="T125">
        <v>3</v>
      </c>
      <c r="U125">
        <v>71</v>
      </c>
      <c r="V125">
        <v>1</v>
      </c>
      <c r="X125">
        <v>58.6</v>
      </c>
      <c r="Z125" t="b">
        <v>0</v>
      </c>
      <c r="AA125">
        <v>0</v>
      </c>
      <c r="AB125">
        <v>1</v>
      </c>
      <c r="AC125">
        <v>11.6</v>
      </c>
      <c r="AD125">
        <v>2.36</v>
      </c>
      <c r="AE125">
        <v>3.47</v>
      </c>
      <c r="AF125">
        <v>362</v>
      </c>
      <c r="AG125">
        <v>4.4000000000000004</v>
      </c>
      <c r="AJ125">
        <v>23</v>
      </c>
      <c r="AK125" t="s">
        <v>30</v>
      </c>
      <c r="AL125">
        <v>63003</v>
      </c>
    </row>
    <row r="126" spans="1:38" x14ac:dyDescent="0.25">
      <c r="A126" s="6">
        <v>73002</v>
      </c>
      <c r="B126" s="7">
        <v>45084</v>
      </c>
      <c r="C126" s="6" t="s">
        <v>27</v>
      </c>
      <c r="D126" s="6">
        <v>21</v>
      </c>
      <c r="E126" s="6" t="s">
        <v>30</v>
      </c>
      <c r="F126" s="6">
        <v>63003</v>
      </c>
      <c r="G126" s="6">
        <v>1</v>
      </c>
      <c r="H126" s="6">
        <v>380</v>
      </c>
      <c r="I126" s="6">
        <v>0</v>
      </c>
      <c r="J126" s="6" t="s">
        <v>37</v>
      </c>
      <c r="K126" s="6" t="s">
        <v>60</v>
      </c>
      <c r="L126" s="6">
        <v>126</v>
      </c>
      <c r="M126" s="6">
        <v>139</v>
      </c>
      <c r="N126" s="7">
        <v>45098</v>
      </c>
      <c r="O126" s="7">
        <f t="shared" si="4"/>
        <v>45098</v>
      </c>
      <c r="P126" s="7">
        <f t="shared" si="7"/>
        <v>45111</v>
      </c>
      <c r="Q126" s="7">
        <f t="shared" si="5"/>
        <v>45224</v>
      </c>
      <c r="R126" s="7">
        <f t="shared" si="6"/>
        <v>45237</v>
      </c>
      <c r="S126" t="s">
        <v>33</v>
      </c>
      <c r="T126">
        <v>3</v>
      </c>
      <c r="U126">
        <v>55</v>
      </c>
      <c r="V126">
        <v>1</v>
      </c>
      <c r="W126">
        <v>158</v>
      </c>
      <c r="X126">
        <v>77</v>
      </c>
      <c r="Y126">
        <v>30.8</v>
      </c>
      <c r="Z126" t="b">
        <v>1</v>
      </c>
      <c r="AA126">
        <v>1</v>
      </c>
      <c r="AB126">
        <v>0</v>
      </c>
      <c r="AC126">
        <v>13.4</v>
      </c>
      <c r="AD126">
        <v>1.82</v>
      </c>
      <c r="AE126">
        <v>5.19</v>
      </c>
      <c r="AF126">
        <v>324</v>
      </c>
      <c r="AI126">
        <v>4.5</v>
      </c>
      <c r="AJ126">
        <v>23</v>
      </c>
      <c r="AK126" t="s">
        <v>30</v>
      </c>
      <c r="AL126">
        <v>63003</v>
      </c>
    </row>
    <row r="127" spans="1:38" x14ac:dyDescent="0.25">
      <c r="A127" s="6">
        <v>63004</v>
      </c>
      <c r="B127" s="7">
        <v>45630</v>
      </c>
      <c r="C127" s="6" t="s">
        <v>27</v>
      </c>
      <c r="D127" s="6">
        <v>21</v>
      </c>
      <c r="E127" s="6" t="s">
        <v>30</v>
      </c>
      <c r="F127" s="6">
        <v>63003</v>
      </c>
      <c r="G127" s="6">
        <v>0</v>
      </c>
      <c r="H127" s="6">
        <v>280</v>
      </c>
      <c r="I127" s="6">
        <v>0</v>
      </c>
      <c r="J127" s="6" t="s">
        <v>37</v>
      </c>
      <c r="K127" s="6" t="s">
        <v>60</v>
      </c>
      <c r="L127" s="6">
        <v>126</v>
      </c>
      <c r="M127" s="6">
        <v>139</v>
      </c>
      <c r="N127" s="7">
        <v>45631</v>
      </c>
      <c r="O127" s="7">
        <f t="shared" si="4"/>
        <v>45631</v>
      </c>
      <c r="P127" s="7">
        <f t="shared" si="7"/>
        <v>45644</v>
      </c>
      <c r="Q127" s="7">
        <f t="shared" si="5"/>
        <v>45757</v>
      </c>
      <c r="R127" s="7">
        <f t="shared" si="6"/>
        <v>45770</v>
      </c>
      <c r="S127" t="s">
        <v>33</v>
      </c>
      <c r="T127">
        <v>3</v>
      </c>
      <c r="U127">
        <v>69</v>
      </c>
      <c r="V127">
        <v>1</v>
      </c>
      <c r="W127">
        <v>153</v>
      </c>
      <c r="X127">
        <v>64.5</v>
      </c>
      <c r="Y127">
        <v>27.6</v>
      </c>
      <c r="Z127" t="b">
        <v>1</v>
      </c>
      <c r="AA127">
        <v>1</v>
      </c>
      <c r="AB127">
        <v>1</v>
      </c>
      <c r="AJ127">
        <v>23</v>
      </c>
      <c r="AK127" t="s">
        <v>30</v>
      </c>
      <c r="AL127">
        <v>63003</v>
      </c>
    </row>
    <row r="128" spans="1:38" s="2" customFormat="1" x14ac:dyDescent="0.25">
      <c r="A128" s="2">
        <v>13006</v>
      </c>
      <c r="B128" s="3">
        <v>45310</v>
      </c>
      <c r="C128" s="2" t="s">
        <v>27</v>
      </c>
      <c r="D128" s="2">
        <v>22</v>
      </c>
      <c r="E128" s="2" t="s">
        <v>29</v>
      </c>
      <c r="F128" s="2">
        <v>13006</v>
      </c>
      <c r="G128" s="2">
        <v>1</v>
      </c>
      <c r="H128" s="2">
        <v>157</v>
      </c>
      <c r="I128" s="2">
        <v>1</v>
      </c>
      <c r="J128" s="2" t="s">
        <v>37</v>
      </c>
      <c r="K128" t="s">
        <v>61</v>
      </c>
      <c r="L128" s="2">
        <v>144</v>
      </c>
      <c r="M128" s="2">
        <v>157</v>
      </c>
      <c r="N128" s="3">
        <v>45313</v>
      </c>
      <c r="O128" s="3">
        <f t="shared" si="4"/>
        <v>45313</v>
      </c>
      <c r="P128" s="3">
        <f t="shared" si="7"/>
        <v>45326</v>
      </c>
      <c r="Q128" s="3">
        <f t="shared" si="5"/>
        <v>45457</v>
      </c>
      <c r="R128" s="3">
        <f t="shared" si="6"/>
        <v>45470</v>
      </c>
      <c r="S128" s="2" t="s">
        <v>33</v>
      </c>
      <c r="T128" s="2">
        <v>3</v>
      </c>
      <c r="U128" s="2">
        <v>60</v>
      </c>
      <c r="V128" s="2">
        <v>1</v>
      </c>
      <c r="W128" s="2">
        <v>156</v>
      </c>
      <c r="X128" s="2">
        <v>73</v>
      </c>
      <c r="Y128" s="2">
        <v>30</v>
      </c>
      <c r="Z128" s="2" t="b">
        <v>1</v>
      </c>
      <c r="AA128" s="2">
        <v>1</v>
      </c>
      <c r="AB128" s="2">
        <v>0</v>
      </c>
      <c r="AC128" s="2">
        <v>13.6</v>
      </c>
      <c r="AD128" s="2">
        <v>2.0299999999999998</v>
      </c>
      <c r="AE128" s="2">
        <v>4.54</v>
      </c>
      <c r="AF128" s="2">
        <v>327</v>
      </c>
      <c r="AG128" s="2">
        <v>4</v>
      </c>
      <c r="AJ128" s="2">
        <v>24</v>
      </c>
      <c r="AK128" s="2" t="s">
        <v>29</v>
      </c>
      <c r="AL128" s="2">
        <v>13006</v>
      </c>
    </row>
    <row r="129" spans="1:38" x14ac:dyDescent="0.25">
      <c r="A129" s="6">
        <v>13007</v>
      </c>
      <c r="B129" s="7">
        <v>45393</v>
      </c>
      <c r="C129" s="6" t="s">
        <v>31</v>
      </c>
      <c r="D129" s="6">
        <v>22</v>
      </c>
      <c r="E129" s="6" t="s">
        <v>30</v>
      </c>
      <c r="F129" s="6">
        <v>13006</v>
      </c>
      <c r="G129" s="6">
        <v>0</v>
      </c>
      <c r="H129" s="6">
        <v>189</v>
      </c>
      <c r="I129" s="6">
        <v>0</v>
      </c>
      <c r="J129" s="6" t="s">
        <v>37</v>
      </c>
      <c r="K129" s="6" t="s">
        <v>61</v>
      </c>
      <c r="L129" s="6">
        <v>144</v>
      </c>
      <c r="M129" s="6">
        <v>157</v>
      </c>
      <c r="N129" s="7">
        <v>45394</v>
      </c>
      <c r="O129" s="7">
        <f t="shared" si="4"/>
        <v>45394</v>
      </c>
      <c r="P129" s="7">
        <f t="shared" si="7"/>
        <v>45407</v>
      </c>
      <c r="Q129" s="7">
        <f t="shared" si="5"/>
        <v>45538</v>
      </c>
      <c r="R129" s="7">
        <f t="shared" si="6"/>
        <v>45551</v>
      </c>
      <c r="S129" t="s">
        <v>33</v>
      </c>
      <c r="T129">
        <v>3</v>
      </c>
      <c r="U129">
        <v>68</v>
      </c>
      <c r="V129">
        <v>1</v>
      </c>
      <c r="W129">
        <v>162</v>
      </c>
      <c r="X129">
        <v>76</v>
      </c>
      <c r="Y129">
        <v>29</v>
      </c>
      <c r="Z129" t="b">
        <v>1</v>
      </c>
      <c r="AA129">
        <v>1</v>
      </c>
      <c r="AB129">
        <v>0</v>
      </c>
      <c r="AC129">
        <v>10.7</v>
      </c>
      <c r="AD129">
        <v>1.03</v>
      </c>
      <c r="AE129">
        <v>6.85</v>
      </c>
      <c r="AF129">
        <v>383</v>
      </c>
      <c r="AG129">
        <v>3.38</v>
      </c>
      <c r="AJ129">
        <v>24</v>
      </c>
      <c r="AK129" t="s">
        <v>30</v>
      </c>
      <c r="AL129">
        <v>13006</v>
      </c>
    </row>
    <row r="130" spans="1:38" x14ac:dyDescent="0.25">
      <c r="A130" s="6">
        <v>63001</v>
      </c>
      <c r="B130" s="7">
        <v>45104</v>
      </c>
      <c r="C130" s="6" t="s">
        <v>27</v>
      </c>
      <c r="D130" s="6">
        <v>22</v>
      </c>
      <c r="E130" s="6" t="s">
        <v>30</v>
      </c>
      <c r="F130" s="6">
        <v>13006</v>
      </c>
      <c r="G130" s="6">
        <v>1</v>
      </c>
      <c r="H130" s="6">
        <v>272</v>
      </c>
      <c r="I130" s="6">
        <v>0</v>
      </c>
      <c r="J130" s="6" t="s">
        <v>37</v>
      </c>
      <c r="K130" s="6" t="s">
        <v>61</v>
      </c>
      <c r="L130" s="6">
        <v>144</v>
      </c>
      <c r="M130" s="6">
        <v>157</v>
      </c>
      <c r="N130" s="7">
        <v>45112</v>
      </c>
      <c r="O130" s="7">
        <f t="shared" si="4"/>
        <v>45112</v>
      </c>
      <c r="P130" s="7">
        <f t="shared" si="7"/>
        <v>45125</v>
      </c>
      <c r="Q130" s="7">
        <f t="shared" si="5"/>
        <v>45256</v>
      </c>
      <c r="R130" s="7">
        <f t="shared" si="6"/>
        <v>45269</v>
      </c>
      <c r="S130" t="s">
        <v>33</v>
      </c>
      <c r="T130">
        <v>3</v>
      </c>
      <c r="U130">
        <v>63</v>
      </c>
      <c r="V130">
        <v>1</v>
      </c>
      <c r="W130">
        <v>159</v>
      </c>
      <c r="X130">
        <v>83</v>
      </c>
      <c r="Y130">
        <v>32.799999999999997</v>
      </c>
      <c r="Z130" t="b">
        <v>1</v>
      </c>
      <c r="AA130">
        <v>1</v>
      </c>
      <c r="AB130">
        <v>1</v>
      </c>
      <c r="AC130">
        <v>14.2</v>
      </c>
      <c r="AD130">
        <v>1.6</v>
      </c>
      <c r="AE130">
        <v>7.3</v>
      </c>
      <c r="AF130">
        <v>289</v>
      </c>
      <c r="AJ130">
        <v>24</v>
      </c>
      <c r="AK130" t="s">
        <v>30</v>
      </c>
      <c r="AL130">
        <v>13006</v>
      </c>
    </row>
    <row r="131" spans="1:38" x14ac:dyDescent="0.25">
      <c r="A131" s="6">
        <v>53003</v>
      </c>
      <c r="B131" s="7">
        <v>45345</v>
      </c>
      <c r="C131" s="6" t="s">
        <v>27</v>
      </c>
      <c r="D131" s="6">
        <v>22</v>
      </c>
      <c r="E131" s="6" t="s">
        <v>30</v>
      </c>
      <c r="F131" s="6">
        <v>13006</v>
      </c>
      <c r="G131" s="6">
        <v>0</v>
      </c>
      <c r="H131" s="6">
        <v>566</v>
      </c>
      <c r="I131" s="6">
        <v>0</v>
      </c>
      <c r="J131" s="6" t="s">
        <v>37</v>
      </c>
      <c r="K131" s="6" t="s">
        <v>61</v>
      </c>
      <c r="L131" s="6">
        <v>144</v>
      </c>
      <c r="M131" s="6">
        <v>157</v>
      </c>
      <c r="N131" s="7">
        <v>45345</v>
      </c>
      <c r="O131" s="7">
        <f t="shared" ref="O131:O145" si="8">N131</f>
        <v>45345</v>
      </c>
      <c r="P131" s="7">
        <f t="shared" si="7"/>
        <v>45358</v>
      </c>
      <c r="Q131" s="7">
        <f t="shared" ref="Q131:Q145" si="9">N131+L131</f>
        <v>45489</v>
      </c>
      <c r="R131" s="7">
        <f t="shared" ref="R131:R145" si="10">N131+M131</f>
        <v>45502</v>
      </c>
      <c r="S131" t="s">
        <v>33</v>
      </c>
      <c r="T131">
        <v>3</v>
      </c>
      <c r="U131">
        <v>68</v>
      </c>
      <c r="V131">
        <v>1</v>
      </c>
      <c r="W131">
        <v>152</v>
      </c>
      <c r="X131">
        <v>84</v>
      </c>
      <c r="Y131">
        <v>36.4</v>
      </c>
      <c r="Z131" t="b">
        <v>0</v>
      </c>
      <c r="AA131">
        <v>0</v>
      </c>
      <c r="AB131">
        <v>1</v>
      </c>
      <c r="AC131">
        <v>15.2</v>
      </c>
      <c r="AD131">
        <v>2.37</v>
      </c>
      <c r="AE131">
        <v>6.6</v>
      </c>
      <c r="AF131">
        <v>238</v>
      </c>
      <c r="AG131">
        <v>44.2</v>
      </c>
      <c r="AJ131">
        <v>24</v>
      </c>
      <c r="AK131" t="s">
        <v>30</v>
      </c>
      <c r="AL131">
        <v>13006</v>
      </c>
    </row>
    <row r="132" spans="1:38" x14ac:dyDescent="0.25">
      <c r="A132" s="6">
        <v>53002</v>
      </c>
      <c r="B132" s="7">
        <v>45351</v>
      </c>
      <c r="C132" s="6" t="s">
        <v>27</v>
      </c>
      <c r="D132" s="6">
        <v>22</v>
      </c>
      <c r="E132" s="6" t="s">
        <v>30</v>
      </c>
      <c r="F132" s="6">
        <v>13006</v>
      </c>
      <c r="G132" s="6">
        <v>0</v>
      </c>
      <c r="H132" s="6">
        <v>560</v>
      </c>
      <c r="I132" s="6">
        <v>0</v>
      </c>
      <c r="J132" s="6" t="s">
        <v>37</v>
      </c>
      <c r="K132" s="6" t="s">
        <v>61</v>
      </c>
      <c r="L132" s="6">
        <v>144</v>
      </c>
      <c r="M132" s="6">
        <v>157</v>
      </c>
      <c r="N132" s="7">
        <v>45351</v>
      </c>
      <c r="O132" s="7">
        <f t="shared" si="8"/>
        <v>45351</v>
      </c>
      <c r="P132" s="7">
        <f t="shared" ref="P132:P145" si="11">O132+13</f>
        <v>45364</v>
      </c>
      <c r="Q132" s="7">
        <f t="shared" si="9"/>
        <v>45495</v>
      </c>
      <c r="R132" s="7">
        <f t="shared" si="10"/>
        <v>45508</v>
      </c>
      <c r="S132" t="s">
        <v>33</v>
      </c>
      <c r="T132">
        <v>3</v>
      </c>
      <c r="U132">
        <v>54</v>
      </c>
      <c r="V132">
        <v>1</v>
      </c>
      <c r="W132">
        <v>173</v>
      </c>
      <c r="X132">
        <v>66</v>
      </c>
      <c r="Y132">
        <v>22.1</v>
      </c>
      <c r="Z132" t="b">
        <v>1</v>
      </c>
      <c r="AA132">
        <v>1</v>
      </c>
      <c r="AB132">
        <v>1</v>
      </c>
      <c r="AC132">
        <v>11.8</v>
      </c>
      <c r="AD132">
        <v>1.1200000000000001</v>
      </c>
      <c r="AE132">
        <v>3.98</v>
      </c>
      <c r="AF132">
        <v>512</v>
      </c>
      <c r="AG132">
        <v>38.5</v>
      </c>
      <c r="AI132">
        <v>4.9000000000000004</v>
      </c>
      <c r="AJ132">
        <v>24</v>
      </c>
      <c r="AK132" t="s">
        <v>30</v>
      </c>
      <c r="AL132">
        <v>13006</v>
      </c>
    </row>
    <row r="133" spans="1:38" x14ac:dyDescent="0.25">
      <c r="A133" s="6">
        <v>23008</v>
      </c>
      <c r="B133" s="7">
        <v>45420</v>
      </c>
      <c r="C133" s="6" t="s">
        <v>27</v>
      </c>
      <c r="D133" s="6">
        <v>22</v>
      </c>
      <c r="E133" s="6" t="s">
        <v>30</v>
      </c>
      <c r="F133" s="6">
        <v>13006</v>
      </c>
      <c r="G133" s="6">
        <v>0</v>
      </c>
      <c r="H133" s="6">
        <v>483</v>
      </c>
      <c r="I133" s="6">
        <v>0</v>
      </c>
      <c r="J133" s="6" t="s">
        <v>37</v>
      </c>
      <c r="K133" s="6" t="s">
        <v>61</v>
      </c>
      <c r="L133" s="6">
        <v>144</v>
      </c>
      <c r="M133" s="6">
        <v>157</v>
      </c>
      <c r="N133" s="7">
        <v>45428</v>
      </c>
      <c r="O133" s="7">
        <f t="shared" si="8"/>
        <v>45428</v>
      </c>
      <c r="P133" s="7">
        <f t="shared" si="11"/>
        <v>45441</v>
      </c>
      <c r="Q133" s="7">
        <f t="shared" si="9"/>
        <v>45572</v>
      </c>
      <c r="R133" s="7">
        <f t="shared" si="10"/>
        <v>45585</v>
      </c>
      <c r="S133" t="s">
        <v>33</v>
      </c>
      <c r="T133">
        <v>3</v>
      </c>
      <c r="U133">
        <v>61</v>
      </c>
      <c r="V133">
        <v>2</v>
      </c>
      <c r="X133">
        <v>60.7</v>
      </c>
      <c r="Z133" t="b">
        <v>0</v>
      </c>
      <c r="AA133">
        <v>0</v>
      </c>
      <c r="AB133">
        <v>1</v>
      </c>
      <c r="AC133">
        <v>14.9</v>
      </c>
      <c r="AD133">
        <v>1.7</v>
      </c>
      <c r="AE133">
        <v>31.75</v>
      </c>
      <c r="AF133">
        <v>302</v>
      </c>
      <c r="AG133">
        <v>3.7</v>
      </c>
      <c r="AJ133">
        <v>24</v>
      </c>
      <c r="AK133" t="s">
        <v>30</v>
      </c>
      <c r="AL133">
        <v>13006</v>
      </c>
    </row>
    <row r="134" spans="1:38" s="2" customFormat="1" x14ac:dyDescent="0.25">
      <c r="A134" s="2">
        <v>93001</v>
      </c>
      <c r="B134" s="3">
        <v>45267</v>
      </c>
      <c r="C134" s="2" t="s">
        <v>27</v>
      </c>
      <c r="D134" s="2">
        <v>23</v>
      </c>
      <c r="E134" s="2" t="s">
        <v>29</v>
      </c>
      <c r="F134" s="2">
        <v>93001</v>
      </c>
      <c r="G134" s="2">
        <v>1</v>
      </c>
      <c r="H134" s="2">
        <v>163</v>
      </c>
      <c r="I134" s="2">
        <v>1</v>
      </c>
      <c r="J134" s="2" t="s">
        <v>37</v>
      </c>
      <c r="K134" t="s">
        <v>62</v>
      </c>
      <c r="L134" s="2">
        <v>150</v>
      </c>
      <c r="M134" s="2">
        <v>163</v>
      </c>
      <c r="N134" s="3">
        <v>45272</v>
      </c>
      <c r="O134" s="3">
        <f t="shared" si="8"/>
        <v>45272</v>
      </c>
      <c r="P134" s="3">
        <f t="shared" si="11"/>
        <v>45285</v>
      </c>
      <c r="Q134" s="3">
        <f t="shared" si="9"/>
        <v>45422</v>
      </c>
      <c r="R134" s="3">
        <f t="shared" si="10"/>
        <v>45435</v>
      </c>
      <c r="S134" s="2" t="s">
        <v>33</v>
      </c>
      <c r="T134" s="2">
        <v>3</v>
      </c>
      <c r="U134" s="2">
        <v>50</v>
      </c>
      <c r="V134" s="2">
        <v>1</v>
      </c>
      <c r="W134" s="2">
        <v>160</v>
      </c>
      <c r="X134" s="2">
        <v>73.8</v>
      </c>
      <c r="Y134" s="2">
        <v>28.8</v>
      </c>
      <c r="Z134" s="2" t="b">
        <v>1</v>
      </c>
      <c r="AA134" s="2">
        <v>1</v>
      </c>
      <c r="AB134" s="2">
        <v>0</v>
      </c>
      <c r="AC134" s="2">
        <v>12.8</v>
      </c>
      <c r="AD134" s="2">
        <v>1.1299999999999999</v>
      </c>
      <c r="AE134" s="2">
        <v>61.5</v>
      </c>
      <c r="AF134" s="2">
        <v>176</v>
      </c>
      <c r="AG134" s="2">
        <v>4.3</v>
      </c>
      <c r="AJ134" s="2">
        <v>25</v>
      </c>
      <c r="AK134" s="2" t="s">
        <v>29</v>
      </c>
      <c r="AL134" s="2">
        <v>93001</v>
      </c>
    </row>
    <row r="135" spans="1:38" x14ac:dyDescent="0.25">
      <c r="A135" s="6">
        <v>13004</v>
      </c>
      <c r="B135" s="7">
        <v>45222</v>
      </c>
      <c r="C135" s="6" t="s">
        <v>27</v>
      </c>
      <c r="D135" s="6">
        <v>23</v>
      </c>
      <c r="E135" s="6" t="s">
        <v>30</v>
      </c>
      <c r="F135" s="6">
        <v>93001</v>
      </c>
      <c r="G135" s="6">
        <v>0</v>
      </c>
      <c r="H135" s="6">
        <v>689</v>
      </c>
      <c r="I135" s="6">
        <v>0</v>
      </c>
      <c r="J135" s="6" t="s">
        <v>37</v>
      </c>
      <c r="K135" s="6" t="s">
        <v>62</v>
      </c>
      <c r="L135" s="6">
        <v>150</v>
      </c>
      <c r="M135" s="6">
        <v>163</v>
      </c>
      <c r="N135" s="7">
        <v>45222</v>
      </c>
      <c r="O135" s="7">
        <f t="shared" si="8"/>
        <v>45222</v>
      </c>
      <c r="P135" s="7">
        <f t="shared" si="11"/>
        <v>45235</v>
      </c>
      <c r="Q135" s="7">
        <f t="shared" si="9"/>
        <v>45372</v>
      </c>
      <c r="R135" s="7">
        <f t="shared" si="10"/>
        <v>45385</v>
      </c>
      <c r="S135" t="s">
        <v>33</v>
      </c>
      <c r="T135">
        <v>3</v>
      </c>
      <c r="U135">
        <v>64</v>
      </c>
      <c r="V135">
        <v>1</v>
      </c>
      <c r="W135">
        <v>155</v>
      </c>
      <c r="X135">
        <v>75</v>
      </c>
      <c r="Y135">
        <v>31.2</v>
      </c>
      <c r="Z135" t="b">
        <v>1</v>
      </c>
      <c r="AA135">
        <v>1</v>
      </c>
      <c r="AB135">
        <v>1</v>
      </c>
      <c r="AC135">
        <v>12.4</v>
      </c>
      <c r="AD135">
        <v>3.22</v>
      </c>
      <c r="AE135">
        <v>4.16</v>
      </c>
      <c r="AF135">
        <v>180</v>
      </c>
      <c r="AG135">
        <v>4.0599999999999996</v>
      </c>
      <c r="AJ135">
        <v>25</v>
      </c>
      <c r="AK135" t="s">
        <v>30</v>
      </c>
      <c r="AL135">
        <v>93001</v>
      </c>
    </row>
    <row r="136" spans="1:38" x14ac:dyDescent="0.25">
      <c r="A136" s="6">
        <v>23008</v>
      </c>
      <c r="B136" s="7">
        <v>45420</v>
      </c>
      <c r="C136" s="6" t="s">
        <v>27</v>
      </c>
      <c r="D136" s="6">
        <v>23</v>
      </c>
      <c r="E136" s="6" t="s">
        <v>30</v>
      </c>
      <c r="F136" s="6">
        <v>93001</v>
      </c>
      <c r="G136" s="6">
        <v>0</v>
      </c>
      <c r="H136" s="6">
        <v>483</v>
      </c>
      <c r="I136" s="6">
        <v>0</v>
      </c>
      <c r="J136" s="6" t="s">
        <v>37</v>
      </c>
      <c r="K136" s="6" t="s">
        <v>62</v>
      </c>
      <c r="L136" s="6">
        <v>150</v>
      </c>
      <c r="M136" s="6">
        <v>163</v>
      </c>
      <c r="N136" s="7">
        <v>45428</v>
      </c>
      <c r="O136" s="7">
        <f t="shared" si="8"/>
        <v>45428</v>
      </c>
      <c r="P136" s="7">
        <f t="shared" si="11"/>
        <v>45441</v>
      </c>
      <c r="Q136" s="7">
        <f t="shared" si="9"/>
        <v>45578</v>
      </c>
      <c r="R136" s="7">
        <f t="shared" si="10"/>
        <v>45591</v>
      </c>
      <c r="S136" t="s">
        <v>33</v>
      </c>
      <c r="T136">
        <v>3</v>
      </c>
      <c r="U136">
        <v>61</v>
      </c>
      <c r="V136">
        <v>2</v>
      </c>
      <c r="X136">
        <v>60.7</v>
      </c>
      <c r="Z136" t="b">
        <v>0</v>
      </c>
      <c r="AA136">
        <v>0</v>
      </c>
      <c r="AB136">
        <v>1</v>
      </c>
      <c r="AC136">
        <v>14.9</v>
      </c>
      <c r="AD136">
        <v>1.7</v>
      </c>
      <c r="AE136">
        <v>31.75</v>
      </c>
      <c r="AF136">
        <v>302</v>
      </c>
      <c r="AG136">
        <v>3.7</v>
      </c>
      <c r="AJ136">
        <v>25</v>
      </c>
      <c r="AK136" t="s">
        <v>30</v>
      </c>
      <c r="AL136">
        <v>93001</v>
      </c>
    </row>
    <row r="137" spans="1:38" x14ac:dyDescent="0.25">
      <c r="A137" s="6">
        <v>63004</v>
      </c>
      <c r="B137" s="7">
        <v>45630</v>
      </c>
      <c r="C137" s="6" t="s">
        <v>27</v>
      </c>
      <c r="D137" s="6">
        <v>23</v>
      </c>
      <c r="E137" s="6" t="s">
        <v>30</v>
      </c>
      <c r="F137" s="6">
        <v>93001</v>
      </c>
      <c r="G137" s="6">
        <v>0</v>
      </c>
      <c r="H137" s="6">
        <v>280</v>
      </c>
      <c r="I137" s="6">
        <v>0</v>
      </c>
      <c r="J137" s="6" t="s">
        <v>37</v>
      </c>
      <c r="K137" s="6" t="s">
        <v>62</v>
      </c>
      <c r="L137" s="6">
        <v>150</v>
      </c>
      <c r="M137" s="6">
        <v>163</v>
      </c>
      <c r="N137" s="7">
        <v>45631</v>
      </c>
      <c r="O137" s="7">
        <f t="shared" si="8"/>
        <v>45631</v>
      </c>
      <c r="P137" s="7">
        <f t="shared" si="11"/>
        <v>45644</v>
      </c>
      <c r="Q137" s="7">
        <f t="shared" si="9"/>
        <v>45781</v>
      </c>
      <c r="R137" s="7">
        <f t="shared" si="10"/>
        <v>45794</v>
      </c>
      <c r="S137" t="s">
        <v>33</v>
      </c>
      <c r="T137">
        <v>3</v>
      </c>
      <c r="U137">
        <v>69</v>
      </c>
      <c r="V137">
        <v>1</v>
      </c>
      <c r="W137">
        <v>153</v>
      </c>
      <c r="X137">
        <v>64.5</v>
      </c>
      <c r="Y137">
        <v>27.6</v>
      </c>
      <c r="Z137" t="b">
        <v>1</v>
      </c>
      <c r="AA137">
        <v>1</v>
      </c>
      <c r="AB137">
        <v>1</v>
      </c>
      <c r="AJ137">
        <v>25</v>
      </c>
      <c r="AK137" t="s">
        <v>30</v>
      </c>
      <c r="AL137">
        <v>93001</v>
      </c>
    </row>
    <row r="138" spans="1:38" x14ac:dyDescent="0.25">
      <c r="A138" s="6">
        <v>73004</v>
      </c>
      <c r="B138" s="7">
        <v>45092</v>
      </c>
      <c r="C138" s="6" t="s">
        <v>27</v>
      </c>
      <c r="D138" s="6">
        <v>23</v>
      </c>
      <c r="E138" s="6" t="s">
        <v>30</v>
      </c>
      <c r="F138" s="6">
        <v>93001</v>
      </c>
      <c r="G138" s="6">
        <v>1</v>
      </c>
      <c r="H138" s="6">
        <v>699</v>
      </c>
      <c r="I138" s="6">
        <v>0</v>
      </c>
      <c r="J138" s="6" t="s">
        <v>37</v>
      </c>
      <c r="K138" s="6" t="s">
        <v>62</v>
      </c>
      <c r="L138" s="6">
        <v>150</v>
      </c>
      <c r="M138" s="6">
        <v>163</v>
      </c>
      <c r="N138" s="7">
        <v>45093</v>
      </c>
      <c r="O138" s="7">
        <f t="shared" si="8"/>
        <v>45093</v>
      </c>
      <c r="P138" s="7">
        <f t="shared" si="11"/>
        <v>45106</v>
      </c>
      <c r="Q138" s="7">
        <f t="shared" si="9"/>
        <v>45243</v>
      </c>
      <c r="R138" s="7">
        <f t="shared" si="10"/>
        <v>45256</v>
      </c>
      <c r="S138" t="s">
        <v>33</v>
      </c>
      <c r="T138">
        <v>3</v>
      </c>
      <c r="U138">
        <v>66</v>
      </c>
      <c r="V138">
        <v>1</v>
      </c>
      <c r="W138">
        <v>166</v>
      </c>
      <c r="X138">
        <v>55</v>
      </c>
      <c r="Y138">
        <v>20</v>
      </c>
      <c r="Z138" t="b">
        <v>1</v>
      </c>
      <c r="AA138">
        <v>1</v>
      </c>
      <c r="AB138">
        <v>0</v>
      </c>
      <c r="AC138">
        <v>12</v>
      </c>
      <c r="AD138">
        <v>1.22</v>
      </c>
      <c r="AE138">
        <v>4.84</v>
      </c>
      <c r="AF138">
        <v>284</v>
      </c>
      <c r="AI138">
        <v>28.2</v>
      </c>
      <c r="AJ138">
        <v>25</v>
      </c>
      <c r="AK138" t="s">
        <v>30</v>
      </c>
      <c r="AL138">
        <v>93001</v>
      </c>
    </row>
    <row r="139" spans="1:38" x14ac:dyDescent="0.25">
      <c r="A139" s="6">
        <v>73005</v>
      </c>
      <c r="B139" s="7">
        <v>45121</v>
      </c>
      <c r="C139" s="6" t="s">
        <v>31</v>
      </c>
      <c r="D139" s="6">
        <v>23</v>
      </c>
      <c r="E139" s="6" t="s">
        <v>30</v>
      </c>
      <c r="F139" s="6">
        <v>93001</v>
      </c>
      <c r="G139" s="6">
        <v>1</v>
      </c>
      <c r="H139" s="6">
        <v>445</v>
      </c>
      <c r="I139" s="6">
        <v>0</v>
      </c>
      <c r="J139" s="6" t="s">
        <v>37</v>
      </c>
      <c r="K139" s="6" t="s">
        <v>62</v>
      </c>
      <c r="L139" s="6">
        <v>150</v>
      </c>
      <c r="M139" s="6">
        <v>163</v>
      </c>
      <c r="N139" s="7">
        <v>45126</v>
      </c>
      <c r="O139" s="7">
        <f t="shared" si="8"/>
        <v>45126</v>
      </c>
      <c r="P139" s="7">
        <f t="shared" si="11"/>
        <v>45139</v>
      </c>
      <c r="Q139" s="7">
        <f t="shared" si="9"/>
        <v>45276</v>
      </c>
      <c r="R139" s="7">
        <f t="shared" si="10"/>
        <v>45289</v>
      </c>
      <c r="S139" t="s">
        <v>33</v>
      </c>
      <c r="T139">
        <v>3</v>
      </c>
      <c r="U139">
        <v>52</v>
      </c>
      <c r="V139">
        <v>1</v>
      </c>
      <c r="W139">
        <v>168</v>
      </c>
      <c r="X139">
        <v>79</v>
      </c>
      <c r="Y139">
        <v>28</v>
      </c>
      <c r="Z139" t="b">
        <v>0</v>
      </c>
      <c r="AA139">
        <v>0</v>
      </c>
      <c r="AB139">
        <v>1</v>
      </c>
      <c r="AC139">
        <v>11.6</v>
      </c>
      <c r="AD139">
        <v>1.46</v>
      </c>
      <c r="AE139">
        <v>5.01</v>
      </c>
      <c r="AF139">
        <v>414</v>
      </c>
      <c r="AI139">
        <v>15.5</v>
      </c>
      <c r="AJ139">
        <v>25</v>
      </c>
      <c r="AK139" t="s">
        <v>30</v>
      </c>
      <c r="AL139">
        <v>93001</v>
      </c>
    </row>
    <row r="140" spans="1:38" s="2" customFormat="1" x14ac:dyDescent="0.25">
      <c r="A140" s="2">
        <v>23005</v>
      </c>
      <c r="B140" s="3">
        <v>45341</v>
      </c>
      <c r="C140" s="2" t="s">
        <v>27</v>
      </c>
      <c r="D140" s="2">
        <v>24</v>
      </c>
      <c r="E140" s="2" t="s">
        <v>29</v>
      </c>
      <c r="F140" s="2">
        <v>23005</v>
      </c>
      <c r="G140" s="2">
        <v>1</v>
      </c>
      <c r="H140" s="2">
        <v>168</v>
      </c>
      <c r="I140" s="2">
        <v>1</v>
      </c>
      <c r="J140" s="2" t="s">
        <v>37</v>
      </c>
      <c r="K140" t="s">
        <v>63</v>
      </c>
      <c r="L140" s="2">
        <v>155</v>
      </c>
      <c r="M140" s="2">
        <v>168</v>
      </c>
      <c r="N140" s="3">
        <v>45348</v>
      </c>
      <c r="O140" s="3">
        <f t="shared" si="8"/>
        <v>45348</v>
      </c>
      <c r="P140" s="3">
        <f t="shared" si="11"/>
        <v>45361</v>
      </c>
      <c r="Q140" s="3">
        <f t="shared" si="9"/>
        <v>45503</v>
      </c>
      <c r="R140" s="3">
        <f t="shared" si="10"/>
        <v>45516</v>
      </c>
      <c r="S140" s="2" t="s">
        <v>33</v>
      </c>
      <c r="T140" s="2">
        <v>3</v>
      </c>
      <c r="U140" s="2">
        <v>65</v>
      </c>
      <c r="V140" s="2">
        <v>1</v>
      </c>
      <c r="W140" s="2">
        <v>162</v>
      </c>
      <c r="X140" s="2">
        <v>77.150000000000006</v>
      </c>
      <c r="Y140" s="2">
        <v>29.4</v>
      </c>
      <c r="Z140" s="2" t="b">
        <v>0</v>
      </c>
      <c r="AA140" s="2">
        <v>0</v>
      </c>
      <c r="AB140" s="2">
        <v>0</v>
      </c>
      <c r="AC140" s="2">
        <v>14.1</v>
      </c>
      <c r="AD140" s="2">
        <v>2.0699999999999998</v>
      </c>
      <c r="AE140" s="2">
        <v>4.8600000000000003</v>
      </c>
      <c r="AF140" s="2">
        <v>252</v>
      </c>
      <c r="AG140" s="2">
        <v>4.0999999999999996</v>
      </c>
      <c r="AI140" s="2">
        <v>0.7</v>
      </c>
      <c r="AJ140" s="2">
        <v>26</v>
      </c>
      <c r="AK140" s="2" t="s">
        <v>29</v>
      </c>
      <c r="AL140" s="2">
        <v>23005</v>
      </c>
    </row>
    <row r="141" spans="1:38" x14ac:dyDescent="0.25">
      <c r="A141" s="6">
        <v>73003</v>
      </c>
      <c r="B141" s="7">
        <v>45091</v>
      </c>
      <c r="C141" s="6" t="s">
        <v>27</v>
      </c>
      <c r="D141" s="6">
        <v>24</v>
      </c>
      <c r="E141" s="6" t="s">
        <v>30</v>
      </c>
      <c r="F141" s="6">
        <v>23005</v>
      </c>
      <c r="G141" s="6">
        <v>1</v>
      </c>
      <c r="H141" s="6">
        <v>180</v>
      </c>
      <c r="I141" s="6">
        <v>0</v>
      </c>
      <c r="J141" s="6" t="s">
        <v>37</v>
      </c>
      <c r="K141" s="6" t="s">
        <v>63</v>
      </c>
      <c r="L141" s="6">
        <v>155</v>
      </c>
      <c r="M141" s="6">
        <v>168</v>
      </c>
      <c r="N141" s="7">
        <v>45091</v>
      </c>
      <c r="O141" s="7">
        <f t="shared" si="8"/>
        <v>45091</v>
      </c>
      <c r="P141" s="7">
        <f t="shared" si="11"/>
        <v>45104</v>
      </c>
      <c r="Q141" s="7">
        <f t="shared" si="9"/>
        <v>45246</v>
      </c>
      <c r="R141" s="7">
        <f t="shared" si="10"/>
        <v>45259</v>
      </c>
      <c r="S141" t="s">
        <v>33</v>
      </c>
      <c r="T141">
        <v>3</v>
      </c>
      <c r="U141">
        <v>68</v>
      </c>
      <c r="V141">
        <v>1</v>
      </c>
      <c r="W141">
        <v>154</v>
      </c>
      <c r="X141">
        <v>65</v>
      </c>
      <c r="Y141">
        <v>27.4</v>
      </c>
      <c r="Z141" t="b">
        <v>1</v>
      </c>
      <c r="AA141">
        <v>1</v>
      </c>
      <c r="AB141">
        <v>1</v>
      </c>
      <c r="AC141">
        <v>12.3</v>
      </c>
      <c r="AD141">
        <v>1.32</v>
      </c>
      <c r="AE141">
        <v>3.19</v>
      </c>
      <c r="AF141">
        <v>338</v>
      </c>
      <c r="AI141">
        <v>13.2</v>
      </c>
      <c r="AJ141">
        <v>26</v>
      </c>
      <c r="AK141" t="s">
        <v>30</v>
      </c>
      <c r="AL141">
        <v>23005</v>
      </c>
    </row>
    <row r="142" spans="1:38" x14ac:dyDescent="0.25">
      <c r="A142" s="6">
        <v>23007</v>
      </c>
      <c r="B142" s="7">
        <v>45387</v>
      </c>
      <c r="C142" s="6" t="s">
        <v>27</v>
      </c>
      <c r="D142" s="6">
        <v>24</v>
      </c>
      <c r="E142" s="6" t="s">
        <v>30</v>
      </c>
      <c r="F142" s="6">
        <v>23005</v>
      </c>
      <c r="G142" s="6">
        <v>0</v>
      </c>
      <c r="H142" s="6">
        <v>521</v>
      </c>
      <c r="I142" s="6">
        <v>0</v>
      </c>
      <c r="J142" s="6" t="s">
        <v>37</v>
      </c>
      <c r="K142" s="6" t="s">
        <v>63</v>
      </c>
      <c r="L142" s="6">
        <v>155</v>
      </c>
      <c r="M142" s="6">
        <v>168</v>
      </c>
      <c r="N142" s="7">
        <v>45390</v>
      </c>
      <c r="O142" s="7">
        <f t="shared" si="8"/>
        <v>45390</v>
      </c>
      <c r="P142" s="7">
        <f t="shared" si="11"/>
        <v>45403</v>
      </c>
      <c r="Q142" s="7">
        <f t="shared" si="9"/>
        <v>45545</v>
      </c>
      <c r="R142" s="7">
        <f t="shared" si="10"/>
        <v>45558</v>
      </c>
      <c r="S142" t="s">
        <v>33</v>
      </c>
      <c r="T142">
        <v>3</v>
      </c>
      <c r="U142">
        <v>70</v>
      </c>
      <c r="V142">
        <v>1</v>
      </c>
      <c r="X142">
        <v>76</v>
      </c>
      <c r="Z142" t="b">
        <v>0</v>
      </c>
      <c r="AA142">
        <v>0</v>
      </c>
      <c r="AB142">
        <v>1</v>
      </c>
      <c r="AC142">
        <v>13.3</v>
      </c>
      <c r="AD142">
        <v>2.2400000000000002</v>
      </c>
      <c r="AE142">
        <v>3.41</v>
      </c>
      <c r="AF142">
        <v>223</v>
      </c>
      <c r="AG142">
        <v>4.2</v>
      </c>
      <c r="AI142">
        <v>1.5</v>
      </c>
      <c r="AJ142">
        <v>26</v>
      </c>
      <c r="AK142" t="s">
        <v>30</v>
      </c>
      <c r="AL142">
        <v>23005</v>
      </c>
    </row>
    <row r="143" spans="1:38" x14ac:dyDescent="0.25">
      <c r="A143" s="6">
        <v>73004</v>
      </c>
      <c r="B143" s="7">
        <v>45092</v>
      </c>
      <c r="C143" s="6" t="s">
        <v>27</v>
      </c>
      <c r="D143" s="6">
        <v>24</v>
      </c>
      <c r="E143" s="6" t="s">
        <v>30</v>
      </c>
      <c r="F143" s="6">
        <v>23005</v>
      </c>
      <c r="G143" s="6">
        <v>1</v>
      </c>
      <c r="H143" s="6">
        <v>699</v>
      </c>
      <c r="I143" s="6">
        <v>0</v>
      </c>
      <c r="J143" s="6" t="s">
        <v>37</v>
      </c>
      <c r="K143" s="6" t="s">
        <v>63</v>
      </c>
      <c r="L143" s="6">
        <v>155</v>
      </c>
      <c r="M143" s="6">
        <v>168</v>
      </c>
      <c r="N143" s="7">
        <v>45093</v>
      </c>
      <c r="O143" s="7">
        <f t="shared" si="8"/>
        <v>45093</v>
      </c>
      <c r="P143" s="7">
        <f t="shared" si="11"/>
        <v>45106</v>
      </c>
      <c r="Q143" s="7">
        <f t="shared" si="9"/>
        <v>45248</v>
      </c>
      <c r="R143" s="7">
        <f t="shared" si="10"/>
        <v>45261</v>
      </c>
      <c r="S143" t="s">
        <v>33</v>
      </c>
      <c r="T143">
        <v>3</v>
      </c>
      <c r="U143">
        <v>66</v>
      </c>
      <c r="V143">
        <v>1</v>
      </c>
      <c r="W143">
        <v>166</v>
      </c>
      <c r="X143">
        <v>55</v>
      </c>
      <c r="Y143">
        <v>20</v>
      </c>
      <c r="Z143" t="b">
        <v>1</v>
      </c>
      <c r="AA143">
        <v>1</v>
      </c>
      <c r="AB143">
        <v>0</v>
      </c>
      <c r="AC143">
        <v>12</v>
      </c>
      <c r="AD143">
        <v>1.22</v>
      </c>
      <c r="AE143">
        <v>4.84</v>
      </c>
      <c r="AF143">
        <v>284</v>
      </c>
      <c r="AI143">
        <v>28.2</v>
      </c>
      <c r="AJ143">
        <v>26</v>
      </c>
      <c r="AK143" t="s">
        <v>30</v>
      </c>
      <c r="AL143">
        <v>23005</v>
      </c>
    </row>
    <row r="144" spans="1:38" x14ac:dyDescent="0.25">
      <c r="A144" s="6">
        <v>63001</v>
      </c>
      <c r="B144" s="7">
        <v>45104</v>
      </c>
      <c r="C144" s="6" t="s">
        <v>27</v>
      </c>
      <c r="D144" s="6">
        <v>24</v>
      </c>
      <c r="E144" s="6" t="s">
        <v>30</v>
      </c>
      <c r="F144" s="6">
        <v>23005</v>
      </c>
      <c r="G144" s="6">
        <v>1</v>
      </c>
      <c r="H144" s="6">
        <v>272</v>
      </c>
      <c r="I144" s="6">
        <v>0</v>
      </c>
      <c r="J144" s="6" t="s">
        <v>37</v>
      </c>
      <c r="K144" s="6" t="s">
        <v>63</v>
      </c>
      <c r="L144" s="6">
        <v>155</v>
      </c>
      <c r="M144" s="6">
        <v>168</v>
      </c>
      <c r="N144" s="7">
        <v>45112</v>
      </c>
      <c r="O144" s="7">
        <f t="shared" si="8"/>
        <v>45112</v>
      </c>
      <c r="P144" s="7">
        <f t="shared" si="11"/>
        <v>45125</v>
      </c>
      <c r="Q144" s="7">
        <f t="shared" si="9"/>
        <v>45267</v>
      </c>
      <c r="R144" s="7">
        <f t="shared" si="10"/>
        <v>45280</v>
      </c>
      <c r="S144" t="s">
        <v>33</v>
      </c>
      <c r="T144">
        <v>3</v>
      </c>
      <c r="U144">
        <v>63</v>
      </c>
      <c r="V144">
        <v>1</v>
      </c>
      <c r="W144">
        <v>159</v>
      </c>
      <c r="X144">
        <v>83</v>
      </c>
      <c r="Y144">
        <v>32.799999999999997</v>
      </c>
      <c r="Z144" t="b">
        <v>1</v>
      </c>
      <c r="AA144">
        <v>1</v>
      </c>
      <c r="AB144">
        <v>1</v>
      </c>
      <c r="AC144">
        <v>14.2</v>
      </c>
      <c r="AD144">
        <v>1.6</v>
      </c>
      <c r="AE144">
        <v>7.3</v>
      </c>
      <c r="AF144">
        <v>289</v>
      </c>
      <c r="AJ144">
        <v>26</v>
      </c>
      <c r="AK144" t="s">
        <v>30</v>
      </c>
      <c r="AL144">
        <v>23005</v>
      </c>
    </row>
    <row r="145" spans="1:38" x14ac:dyDescent="0.25">
      <c r="A145" s="6">
        <v>23006</v>
      </c>
      <c r="B145" s="7">
        <v>45385</v>
      </c>
      <c r="C145" s="6" t="s">
        <v>27</v>
      </c>
      <c r="D145" s="6">
        <v>24</v>
      </c>
      <c r="E145" s="6" t="s">
        <v>30</v>
      </c>
      <c r="F145" s="6">
        <v>23005</v>
      </c>
      <c r="G145" s="6">
        <v>1</v>
      </c>
      <c r="H145" s="6">
        <v>241</v>
      </c>
      <c r="I145" s="6">
        <v>0</v>
      </c>
      <c r="J145" s="6" t="s">
        <v>37</v>
      </c>
      <c r="K145" s="6" t="s">
        <v>63</v>
      </c>
      <c r="L145" s="6">
        <v>155</v>
      </c>
      <c r="M145" s="6">
        <v>168</v>
      </c>
      <c r="N145" s="7">
        <v>45390</v>
      </c>
      <c r="O145" s="7">
        <f t="shared" si="8"/>
        <v>45390</v>
      </c>
      <c r="P145" s="7">
        <f t="shared" si="11"/>
        <v>45403</v>
      </c>
      <c r="Q145" s="7">
        <f t="shared" si="9"/>
        <v>45545</v>
      </c>
      <c r="R145" s="7">
        <f t="shared" si="10"/>
        <v>45558</v>
      </c>
      <c r="S145" t="s">
        <v>33</v>
      </c>
      <c r="T145">
        <v>3</v>
      </c>
      <c r="U145">
        <v>71</v>
      </c>
      <c r="V145">
        <v>1</v>
      </c>
      <c r="X145">
        <v>58.6</v>
      </c>
      <c r="Z145" t="b">
        <v>0</v>
      </c>
      <c r="AA145">
        <v>0</v>
      </c>
      <c r="AB145">
        <v>1</v>
      </c>
      <c r="AC145">
        <v>11.6</v>
      </c>
      <c r="AD145">
        <v>2.36</v>
      </c>
      <c r="AE145">
        <v>3.47</v>
      </c>
      <c r="AF145">
        <v>362</v>
      </c>
      <c r="AG145">
        <v>4.4000000000000004</v>
      </c>
      <c r="AJ145">
        <v>26</v>
      </c>
      <c r="AK145" t="s">
        <v>30</v>
      </c>
      <c r="AL145">
        <v>23005</v>
      </c>
    </row>
    <row r="146" spans="1:38" x14ac:dyDescent="0.25"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38" x14ac:dyDescent="0.25"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38" x14ac:dyDescent="0.25"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38" x14ac:dyDescent="0.25"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38" x14ac:dyDescent="0.25"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38" x14ac:dyDescent="0.25"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38" x14ac:dyDescent="0.25"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38" x14ac:dyDescent="0.25"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38" x14ac:dyDescent="0.25"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38" x14ac:dyDescent="0.25"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38" x14ac:dyDescent="0.25"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38" x14ac:dyDescent="0.25"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38" x14ac:dyDescent="0.25"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38" x14ac:dyDescent="0.25"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38" x14ac:dyDescent="0.25"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7:18" x14ac:dyDescent="0.25"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7:18" x14ac:dyDescent="0.25"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7:18" x14ac:dyDescent="0.25"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7:18" x14ac:dyDescent="0.25"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7:18" x14ac:dyDescent="0.25"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7:18" x14ac:dyDescent="0.25"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7:18" x14ac:dyDescent="0.25"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7:18" x14ac:dyDescent="0.25"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7:18" x14ac:dyDescent="0.25"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7:18" x14ac:dyDescent="0.25"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7:18" x14ac:dyDescent="0.25"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7:18" x14ac:dyDescent="0.25"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7:18" x14ac:dyDescent="0.25"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7:18" x14ac:dyDescent="0.25"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7:18" x14ac:dyDescent="0.25"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7:18" x14ac:dyDescent="0.25"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7:18" x14ac:dyDescent="0.25"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7:18" x14ac:dyDescent="0.25"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7:18" x14ac:dyDescent="0.25"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7:18" x14ac:dyDescent="0.25"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7:18" x14ac:dyDescent="0.25"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7:18" x14ac:dyDescent="0.25"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7:18" x14ac:dyDescent="0.25"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7:18" x14ac:dyDescent="0.25"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7:18" x14ac:dyDescent="0.25"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7:18" x14ac:dyDescent="0.25"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7:18" x14ac:dyDescent="0.25"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7:18" x14ac:dyDescent="0.25"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7:18" x14ac:dyDescent="0.25"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7:18" x14ac:dyDescent="0.25"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7:18" x14ac:dyDescent="0.25"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7:18" x14ac:dyDescent="0.25"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7:18" x14ac:dyDescent="0.25"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7:18" x14ac:dyDescent="0.25"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7:18" x14ac:dyDescent="0.25"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7:18" x14ac:dyDescent="0.25"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7:18" x14ac:dyDescent="0.25"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7:18" x14ac:dyDescent="0.25"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7:18" x14ac:dyDescent="0.25"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7:18" x14ac:dyDescent="0.25"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7:18" x14ac:dyDescent="0.25"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7:18" x14ac:dyDescent="0.25"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7:18" x14ac:dyDescent="0.25"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7:18" x14ac:dyDescent="0.25"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7:18" x14ac:dyDescent="0.25"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7:18" x14ac:dyDescent="0.25"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7:18" x14ac:dyDescent="0.25"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7:18" x14ac:dyDescent="0.25"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7:18" x14ac:dyDescent="0.25"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7:18" x14ac:dyDescent="0.25"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7:18" x14ac:dyDescent="0.25"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7:18" x14ac:dyDescent="0.25"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7:18" x14ac:dyDescent="0.25"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7:18" x14ac:dyDescent="0.25"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7:18" x14ac:dyDescent="0.25"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7:18" x14ac:dyDescent="0.25"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7:18" x14ac:dyDescent="0.25"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7:18" x14ac:dyDescent="0.25"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7:18" x14ac:dyDescent="0.25"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7:18" x14ac:dyDescent="0.25"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7:18" x14ac:dyDescent="0.25"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7:18" x14ac:dyDescent="0.25"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7:18" x14ac:dyDescent="0.25"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7:18" x14ac:dyDescent="0.25"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7:18" x14ac:dyDescent="0.25"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7:18" x14ac:dyDescent="0.25"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7:18" x14ac:dyDescent="0.25"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7:18" x14ac:dyDescent="0.25"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7:18" x14ac:dyDescent="0.25"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7:18" x14ac:dyDescent="0.25"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7:18" x14ac:dyDescent="0.25"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7:18" x14ac:dyDescent="0.25"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7:18" x14ac:dyDescent="0.25"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7:18" x14ac:dyDescent="0.25"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7:18" x14ac:dyDescent="0.25"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7:18" x14ac:dyDescent="0.25"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7:18" x14ac:dyDescent="0.25"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7:18" x14ac:dyDescent="0.25"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7:18" x14ac:dyDescent="0.25"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7:18" x14ac:dyDescent="0.25"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7:18" x14ac:dyDescent="0.25"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7:18" x14ac:dyDescent="0.25"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7:18" x14ac:dyDescent="0.25"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7:18" x14ac:dyDescent="0.25"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7:18" x14ac:dyDescent="0.25"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7:18" x14ac:dyDescent="0.25"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7:18" x14ac:dyDescent="0.25"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7:18" x14ac:dyDescent="0.25"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7:18" x14ac:dyDescent="0.25"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7:18" x14ac:dyDescent="0.25"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7:18" x14ac:dyDescent="0.25"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7:18" x14ac:dyDescent="0.25"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7:18" x14ac:dyDescent="0.25"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7:18" x14ac:dyDescent="0.25"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7:18" x14ac:dyDescent="0.25"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7:18" x14ac:dyDescent="0.25"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7:18" x14ac:dyDescent="0.25"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7:18" x14ac:dyDescent="0.25"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7:18" x14ac:dyDescent="0.25"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7:18" x14ac:dyDescent="0.25"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7:18" x14ac:dyDescent="0.25"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7:18" x14ac:dyDescent="0.25"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7:18" x14ac:dyDescent="0.25"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7:18" x14ac:dyDescent="0.25"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7:18" x14ac:dyDescent="0.25"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7:18" x14ac:dyDescent="0.25"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7:18" x14ac:dyDescent="0.25"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7:18" x14ac:dyDescent="0.25"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7:18" x14ac:dyDescent="0.25"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7:18" x14ac:dyDescent="0.25"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7:18" x14ac:dyDescent="0.25"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7:18" x14ac:dyDescent="0.25"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7:18" x14ac:dyDescent="0.25"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7:18" x14ac:dyDescent="0.25"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7:18" x14ac:dyDescent="0.25"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7:18" x14ac:dyDescent="0.25"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7:18" x14ac:dyDescent="0.25"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7:18" x14ac:dyDescent="0.25"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7:18" x14ac:dyDescent="0.25"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7:18" x14ac:dyDescent="0.25"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7:18" x14ac:dyDescent="0.25"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7:18" x14ac:dyDescent="0.25"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7:18" x14ac:dyDescent="0.25"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7:18" x14ac:dyDescent="0.25"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7:18" x14ac:dyDescent="0.25"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7:18" x14ac:dyDescent="0.25"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7:18" x14ac:dyDescent="0.25"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7:18" x14ac:dyDescent="0.25"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7:18" x14ac:dyDescent="0.25"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7:18" x14ac:dyDescent="0.25"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7:18" x14ac:dyDescent="0.25"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Garma</cp:lastModifiedBy>
  <dcterms:created xsi:type="dcterms:W3CDTF">2025-12-06T11:53:42Z</dcterms:created>
  <dcterms:modified xsi:type="dcterms:W3CDTF">2026-10-14T09:35:34Z</dcterms:modified>
</cp:coreProperties>
</file>